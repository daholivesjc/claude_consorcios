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https://d.docs.live.net/f9ad1013efc928c0/Área de Trabalho/Consorcio/"/>
    </mc:Choice>
  </mc:AlternateContent>
  <xr:revisionPtr revIDLastSave="1" documentId="13_ncr:1_{37383486-C62F-514F-8690-F347C0188F54}" xr6:coauthVersionLast="47" xr6:coauthVersionMax="47" xr10:uidLastSave="{7A889524-18C3-4C94-9E0B-2E1BD8714E3E}"/>
  <bookViews>
    <workbookView xWindow="-120" yWindow="-120" windowWidth="29040" windowHeight="15720" xr2:uid="{00000000-000D-0000-FFFF-FFFF00000000}"/>
  </bookViews>
  <sheets>
    <sheet name="Venda da Carta com Lucro" sheetId="4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15" roundtripDataChecksum="nEvyVa3XxPQZuGRgOPmrDegamLUD6wFqIsHA9+LcejY="/>
    </ext>
  </extLst>
</workbook>
</file>

<file path=xl/calcChain.xml><?xml version="1.0" encoding="utf-8"?>
<calcChain xmlns="http://schemas.openxmlformats.org/spreadsheetml/2006/main">
  <c r="I8" i="4" l="1"/>
  <c r="Q15" i="4" l="1"/>
  <c r="C8" i="4"/>
  <c r="B12" i="4" l="1"/>
  <c r="H12" i="4" l="1"/>
  <c r="I12" i="4" s="1"/>
  <c r="E12" i="4"/>
  <c r="B13" i="4"/>
  <c r="D12" i="4"/>
  <c r="C12" i="4"/>
  <c r="C13" i="4" l="1"/>
  <c r="C14" i="4" s="1"/>
  <c r="C15" i="4" s="1"/>
  <c r="C16" i="4" s="1"/>
  <c r="C17" i="4" s="1"/>
  <c r="C18" i="4" s="1"/>
  <c r="C19" i="4" s="1"/>
  <c r="C20" i="4" s="1"/>
  <c r="C21" i="4" s="1"/>
  <c r="C22" i="4" s="1"/>
  <c r="C23" i="4" s="1"/>
  <c r="C24" i="4" s="1"/>
  <c r="C25" i="4" s="1"/>
  <c r="C26" i="4" s="1"/>
  <c r="C27" i="4" s="1"/>
  <c r="C28" i="4" s="1"/>
  <c r="C29" i="4" s="1"/>
  <c r="C30" i="4" s="1"/>
  <c r="C31" i="4" s="1"/>
  <c r="C32" i="4" s="1"/>
  <c r="C33" i="4" s="1"/>
  <c r="C34" i="4" s="1"/>
  <c r="C35" i="4" s="1"/>
  <c r="C36" i="4" s="1"/>
  <c r="C37" i="4" s="1"/>
  <c r="C38" i="4" s="1"/>
  <c r="C39" i="4" s="1"/>
  <c r="C40" i="4" s="1"/>
  <c r="C41" i="4" s="1"/>
  <c r="C42" i="4" s="1"/>
  <c r="C43" i="4" s="1"/>
  <c r="C44" i="4" s="1"/>
  <c r="C45" i="4" s="1"/>
  <c r="C46" i="4" s="1"/>
  <c r="C47" i="4" s="1"/>
  <c r="C48" i="4" s="1"/>
  <c r="C49" i="4" s="1"/>
  <c r="C50" i="4" s="1"/>
  <c r="C51" i="4" s="1"/>
  <c r="C52" i="4" s="1"/>
  <c r="C53" i="4" s="1"/>
  <c r="C54" i="4" s="1"/>
  <c r="C55" i="4" s="1"/>
  <c r="C56" i="4" s="1"/>
  <c r="C57" i="4" s="1"/>
  <c r="C58" i="4" s="1"/>
  <c r="C59" i="4" s="1"/>
  <c r="C60" i="4" s="1"/>
  <c r="C61" i="4" s="1"/>
  <c r="C62" i="4" s="1"/>
  <c r="C63" i="4" s="1"/>
  <c r="C64" i="4" s="1"/>
  <c r="C65" i="4" s="1"/>
  <c r="C66" i="4" s="1"/>
  <c r="C67" i="4" s="1"/>
  <c r="C68" i="4" s="1"/>
  <c r="C69" i="4" s="1"/>
  <c r="C70" i="4" s="1"/>
  <c r="C71" i="4" s="1"/>
  <c r="C72" i="4" s="1"/>
  <c r="C73" i="4" s="1"/>
  <c r="C74" i="4" s="1"/>
  <c r="C75" i="4" s="1"/>
  <c r="C76" i="4" s="1"/>
  <c r="C77" i="4" s="1"/>
  <c r="C78" i="4" s="1"/>
  <c r="C79" i="4" s="1"/>
  <c r="C80" i="4" s="1"/>
  <c r="C81" i="4" s="1"/>
  <c r="C82" i="4" s="1"/>
  <c r="C83" i="4" s="1"/>
  <c r="L12" i="4"/>
  <c r="M12" i="4" s="1"/>
  <c r="J12" i="4"/>
  <c r="K12" i="4" s="1"/>
  <c r="H13" i="4"/>
  <c r="I13" i="4" s="1"/>
  <c r="E13" i="4"/>
  <c r="B14" i="4"/>
  <c r="F12" i="4"/>
  <c r="G12" i="4" s="1"/>
  <c r="D13" i="4"/>
  <c r="L13" i="4" l="1"/>
  <c r="M13" i="4" s="1"/>
  <c r="N13" i="4" s="1"/>
  <c r="J13" i="4"/>
  <c r="K13" i="4" s="1"/>
  <c r="B15" i="4"/>
  <c r="E14" i="4"/>
  <c r="H14" i="4"/>
  <c r="I14" i="4" s="1"/>
  <c r="D14" i="4"/>
  <c r="F13" i="4"/>
  <c r="G13" i="4" s="1"/>
  <c r="C84" i="4"/>
  <c r="C85" i="4" s="1"/>
  <c r="C86" i="4" s="1"/>
  <c r="C87" i="4" s="1"/>
  <c r="C88" i="4" s="1"/>
  <c r="C89" i="4" s="1"/>
  <c r="C90" i="4" s="1"/>
  <c r="C91" i="4" s="1"/>
  <c r="C92" i="4" s="1"/>
  <c r="C93" i="4" s="1"/>
  <c r="C94" i="4" s="1"/>
  <c r="C95" i="4" s="1"/>
  <c r="L14" i="4" l="1"/>
  <c r="M14" i="4" s="1"/>
  <c r="N14" i="4" s="1"/>
  <c r="J14" i="4"/>
  <c r="K14" i="4" s="1"/>
  <c r="B16" i="4"/>
  <c r="H15" i="4"/>
  <c r="I15" i="4" s="1"/>
  <c r="E15" i="4"/>
  <c r="D15" i="4"/>
  <c r="F14" i="4"/>
  <c r="G14" i="4" s="1"/>
  <c r="C96" i="4"/>
  <c r="C97" i="4" s="1"/>
  <c r="C98" i="4" s="1"/>
  <c r="C99" i="4" s="1"/>
  <c r="C100" i="4" s="1"/>
  <c r="C101" i="4" s="1"/>
  <c r="C102" i="4" s="1"/>
  <c r="C103" i="4" s="1"/>
  <c r="C104" i="4" s="1"/>
  <c r="C105" i="4" s="1"/>
  <c r="C106" i="4" s="1"/>
  <c r="C107" i="4" s="1"/>
  <c r="C108" i="4" s="1"/>
  <c r="L15" i="4" l="1"/>
  <c r="M15" i="4" s="1"/>
  <c r="N15" i="4" s="1"/>
  <c r="C109" i="4"/>
  <c r="C110" i="4" s="1"/>
  <c r="C111" i="4" s="1"/>
  <c r="C112" i="4" s="1"/>
  <c r="C113" i="4" s="1"/>
  <c r="C114" i="4" s="1"/>
  <c r="C115" i="4" s="1"/>
  <c r="J15" i="4"/>
  <c r="K15" i="4" s="1"/>
  <c r="B17" i="4"/>
  <c r="H16" i="4"/>
  <c r="I16" i="4" s="1"/>
  <c r="E16" i="4"/>
  <c r="D16" i="4"/>
  <c r="F15" i="4"/>
  <c r="G15" i="4" s="1"/>
  <c r="L16" i="4" l="1"/>
  <c r="M16" i="4" s="1"/>
  <c r="N16" i="4" s="1"/>
  <c r="C116" i="4"/>
  <c r="C117" i="4" s="1"/>
  <c r="C118" i="4" s="1"/>
  <c r="C119" i="4" s="1"/>
  <c r="J16" i="4"/>
  <c r="K16" i="4" s="1"/>
  <c r="B18" i="4"/>
  <c r="H17" i="4"/>
  <c r="I17" i="4" s="1"/>
  <c r="E17" i="4"/>
  <c r="D17" i="4"/>
  <c r="F16" i="4"/>
  <c r="G16" i="4" s="1"/>
  <c r="L17" i="4" l="1"/>
  <c r="M17" i="4" s="1"/>
  <c r="N17" i="4" s="1"/>
  <c r="C120" i="4"/>
  <c r="C121" i="4" s="1"/>
  <c r="C122" i="4" s="1"/>
  <c r="C123" i="4" s="1"/>
  <c r="C124" i="4" s="1"/>
  <c r="C125" i="4" s="1"/>
  <c r="C126" i="4" s="1"/>
  <c r="C127" i="4" s="1"/>
  <c r="C128" i="4" s="1"/>
  <c r="C129" i="4" s="1"/>
  <c r="C130" i="4" s="1"/>
  <c r="C131" i="4" s="1"/>
  <c r="B19" i="4"/>
  <c r="E18" i="4"/>
  <c r="H18" i="4"/>
  <c r="I18" i="4" s="1"/>
  <c r="J17" i="4"/>
  <c r="K17" i="4" s="1"/>
  <c r="D18" i="4"/>
  <c r="F17" i="4"/>
  <c r="G17" i="4" s="1"/>
  <c r="L18" i="4" l="1"/>
  <c r="M18" i="4" s="1"/>
  <c r="N18" i="4" s="1"/>
  <c r="C132" i="4"/>
  <c r="C133" i="4" s="1"/>
  <c r="C134" i="4" s="1"/>
  <c r="C135" i="4" s="1"/>
  <c r="C136" i="4" s="1"/>
  <c r="C137" i="4" s="1"/>
  <c r="C138" i="4" s="1"/>
  <c r="C139" i="4" s="1"/>
  <c r="C140" i="4" s="1"/>
  <c r="C141" i="4" s="1"/>
  <c r="C142" i="4" s="1"/>
  <c r="C143" i="4" s="1"/>
  <c r="J18" i="4"/>
  <c r="K18" i="4" s="1"/>
  <c r="B20" i="4"/>
  <c r="H19" i="4"/>
  <c r="I19" i="4" s="1"/>
  <c r="E19" i="4"/>
  <c r="D19" i="4"/>
  <c r="F18" i="4"/>
  <c r="G18" i="4" s="1"/>
  <c r="L19" i="4" l="1"/>
  <c r="M19" i="4" s="1"/>
  <c r="N19" i="4" s="1"/>
  <c r="C144" i="4"/>
  <c r="C145" i="4" s="1"/>
  <c r="C146" i="4" s="1"/>
  <c r="C147" i="4" s="1"/>
  <c r="C148" i="4" s="1"/>
  <c r="C149" i="4" s="1"/>
  <c r="C150" i="4" s="1"/>
  <c r="C151" i="4" s="1"/>
  <c r="C152" i="4" s="1"/>
  <c r="C153" i="4" s="1"/>
  <c r="C154" i="4" s="1"/>
  <c r="C155" i="4" s="1"/>
  <c r="J19" i="4"/>
  <c r="K19" i="4" s="1"/>
  <c r="B21" i="4"/>
  <c r="H20" i="4"/>
  <c r="I20" i="4" s="1"/>
  <c r="E20" i="4"/>
  <c r="D20" i="4"/>
  <c r="F19" i="4"/>
  <c r="G19" i="4" s="1"/>
  <c r="L20" i="4" l="1"/>
  <c r="M20" i="4" s="1"/>
  <c r="N20" i="4" s="1"/>
  <c r="C156" i="4"/>
  <c r="C157" i="4" s="1"/>
  <c r="C158" i="4" s="1"/>
  <c r="C159" i="4" s="1"/>
  <c r="C160" i="4" s="1"/>
  <c r="C161" i="4" s="1"/>
  <c r="C162" i="4" s="1"/>
  <c r="C163" i="4" s="1"/>
  <c r="C164" i="4" s="1"/>
  <c r="C165" i="4" s="1"/>
  <c r="C166" i="4" s="1"/>
  <c r="C167" i="4" s="1"/>
  <c r="J20" i="4"/>
  <c r="K20" i="4" s="1"/>
  <c r="B22" i="4"/>
  <c r="H21" i="4"/>
  <c r="I21" i="4" s="1"/>
  <c r="E21" i="4"/>
  <c r="D21" i="4"/>
  <c r="F20" i="4"/>
  <c r="G20" i="4" s="1"/>
  <c r="L21" i="4" l="1"/>
  <c r="M21" i="4" s="1"/>
  <c r="N21" i="4" s="1"/>
  <c r="C168" i="4"/>
  <c r="C169" i="4" s="1"/>
  <c r="C170" i="4" s="1"/>
  <c r="C171" i="4" s="1"/>
  <c r="C172" i="4" s="1"/>
  <c r="C173" i="4" s="1"/>
  <c r="C174" i="4" s="1"/>
  <c r="C175" i="4" s="1"/>
  <c r="C176" i="4" s="1"/>
  <c r="C177" i="4" s="1"/>
  <c r="C178" i="4" s="1"/>
  <c r="C179" i="4" s="1"/>
  <c r="J21" i="4"/>
  <c r="K21" i="4" s="1"/>
  <c r="B23" i="4"/>
  <c r="E22" i="4"/>
  <c r="H22" i="4"/>
  <c r="I22" i="4" s="1"/>
  <c r="D22" i="4"/>
  <c r="F21" i="4"/>
  <c r="G21" i="4" s="1"/>
  <c r="L22" i="4" l="1"/>
  <c r="M22" i="4" s="1"/>
  <c r="N22" i="4" s="1"/>
  <c r="C180" i="4"/>
  <c r="C181" i="4" s="1"/>
  <c r="C182" i="4" s="1"/>
  <c r="C183" i="4" s="1"/>
  <c r="C184" i="4" s="1"/>
  <c r="C185" i="4" s="1"/>
  <c r="C186" i="4" s="1"/>
  <c r="C187" i="4" s="1"/>
  <c r="C188" i="4" s="1"/>
  <c r="C189" i="4" s="1"/>
  <c r="C190" i="4" s="1"/>
  <c r="C191" i="4" s="1"/>
  <c r="J22" i="4"/>
  <c r="K22" i="4" s="1"/>
  <c r="H23" i="4"/>
  <c r="I23" i="4" s="1"/>
  <c r="B24" i="4"/>
  <c r="E23" i="4"/>
  <c r="D23" i="4"/>
  <c r="F22" i="4"/>
  <c r="G22" i="4" s="1"/>
  <c r="L23" i="4" l="1"/>
  <c r="M23" i="4" s="1"/>
  <c r="N23" i="4" s="1"/>
  <c r="J23" i="4"/>
  <c r="K23" i="4" s="1"/>
  <c r="C192" i="4"/>
  <c r="C193" i="4" s="1"/>
  <c r="C194" i="4" s="1"/>
  <c r="C195" i="4" s="1"/>
  <c r="C196" i="4" s="1"/>
  <c r="C197" i="4" s="1"/>
  <c r="C198" i="4" s="1"/>
  <c r="C199" i="4" s="1"/>
  <c r="C200" i="4" s="1"/>
  <c r="C201" i="4" s="1"/>
  <c r="C202" i="4" s="1"/>
  <c r="C203" i="4" s="1"/>
  <c r="B25" i="4"/>
  <c r="H24" i="4"/>
  <c r="I24" i="4" s="1"/>
  <c r="E24" i="4"/>
  <c r="D24" i="4"/>
  <c r="F23" i="4"/>
  <c r="G23" i="4" s="1"/>
  <c r="L24" i="4" l="1"/>
  <c r="M24" i="4" s="1"/>
  <c r="N24" i="4" s="1"/>
  <c r="C204" i="4"/>
  <c r="C205" i="4" s="1"/>
  <c r="C206" i="4" s="1"/>
  <c r="C207" i="4" s="1"/>
  <c r="C208" i="4" s="1"/>
  <c r="C209" i="4" s="1"/>
  <c r="C210" i="4" s="1"/>
  <c r="C211" i="4" s="1"/>
  <c r="C212" i="4" s="1"/>
  <c r="C213" i="4" s="1"/>
  <c r="C214" i="4" s="1"/>
  <c r="C215" i="4" s="1"/>
  <c r="J24" i="4"/>
  <c r="K24" i="4" s="1"/>
  <c r="B26" i="4"/>
  <c r="E25" i="4"/>
  <c r="H25" i="4"/>
  <c r="I25" i="4" s="1"/>
  <c r="D25" i="4"/>
  <c r="F24" i="4"/>
  <c r="G24" i="4" s="1"/>
  <c r="L25" i="4" l="1"/>
  <c r="M25" i="4" s="1"/>
  <c r="N25" i="4" s="1"/>
  <c r="C216" i="4"/>
  <c r="C217" i="4" s="1"/>
  <c r="C218" i="4" s="1"/>
  <c r="C219" i="4" s="1"/>
  <c r="C220" i="4" s="1"/>
  <c r="C221" i="4" s="1"/>
  <c r="C222" i="4" s="1"/>
  <c r="C223" i="4" s="1"/>
  <c r="C224" i="4" s="1"/>
  <c r="C225" i="4" s="1"/>
  <c r="C226" i="4" s="1"/>
  <c r="C227" i="4" s="1"/>
  <c r="J25" i="4"/>
  <c r="K25" i="4" s="1"/>
  <c r="B27" i="4"/>
  <c r="E26" i="4"/>
  <c r="H26" i="4"/>
  <c r="I26" i="4" s="1"/>
  <c r="D26" i="4"/>
  <c r="F25" i="4"/>
  <c r="G25" i="4" s="1"/>
  <c r="L26" i="4" l="1"/>
  <c r="M26" i="4" s="1"/>
  <c r="N26" i="4" s="1"/>
  <c r="C228" i="4"/>
  <c r="C229" i="4" s="1"/>
  <c r="C230" i="4" s="1"/>
  <c r="C231" i="4" s="1"/>
  <c r="J26" i="4"/>
  <c r="K26" i="4" s="1"/>
  <c r="B28" i="4"/>
  <c r="E27" i="4"/>
  <c r="H27" i="4"/>
  <c r="I27" i="4" s="1"/>
  <c r="D27" i="4"/>
  <c r="F26" i="4"/>
  <c r="G26" i="4" s="1"/>
  <c r="L27" i="4" l="1"/>
  <c r="M27" i="4" s="1"/>
  <c r="N27" i="4" s="1"/>
  <c r="J27" i="4"/>
  <c r="K27" i="4" s="1"/>
  <c r="B29" i="4"/>
  <c r="H28" i="4"/>
  <c r="I28" i="4" s="1"/>
  <c r="E28" i="4"/>
  <c r="D28" i="4"/>
  <c r="F27" i="4"/>
  <c r="G27" i="4" s="1"/>
  <c r="L28" i="4" l="1"/>
  <c r="M28" i="4" s="1"/>
  <c r="N28" i="4" s="1"/>
  <c r="J28" i="4"/>
  <c r="K28" i="4" s="1"/>
  <c r="B30" i="4"/>
  <c r="H29" i="4"/>
  <c r="I29" i="4" s="1"/>
  <c r="E29" i="4"/>
  <c r="D29" i="4"/>
  <c r="F28" i="4"/>
  <c r="G28" i="4" s="1"/>
  <c r="L29" i="4" l="1"/>
  <c r="M29" i="4" s="1"/>
  <c r="N29" i="4" s="1"/>
  <c r="J29" i="4"/>
  <c r="K29" i="4" s="1"/>
  <c r="B31" i="4"/>
  <c r="E30" i="4"/>
  <c r="H30" i="4"/>
  <c r="I30" i="4" s="1"/>
  <c r="D30" i="4"/>
  <c r="F29" i="4"/>
  <c r="G29" i="4" s="1"/>
  <c r="L30" i="4" l="1"/>
  <c r="M30" i="4" s="1"/>
  <c r="N30" i="4" s="1"/>
  <c r="J30" i="4"/>
  <c r="K30" i="4" s="1"/>
  <c r="B32" i="4"/>
  <c r="H31" i="4"/>
  <c r="I31" i="4" s="1"/>
  <c r="E31" i="4"/>
  <c r="D31" i="4"/>
  <c r="F30" i="4"/>
  <c r="G30" i="4" s="1"/>
  <c r="L31" i="4" l="1"/>
  <c r="M31" i="4" s="1"/>
  <c r="N31" i="4" s="1"/>
  <c r="J31" i="4"/>
  <c r="K31" i="4" s="1"/>
  <c r="B33" i="4"/>
  <c r="H32" i="4"/>
  <c r="I32" i="4" s="1"/>
  <c r="E32" i="4"/>
  <c r="D32" i="4"/>
  <c r="F31" i="4"/>
  <c r="G31" i="4" s="1"/>
  <c r="L32" i="4" l="1"/>
  <c r="M32" i="4" s="1"/>
  <c r="N32" i="4" s="1"/>
  <c r="J32" i="4"/>
  <c r="K32" i="4" s="1"/>
  <c r="B34" i="4"/>
  <c r="H33" i="4"/>
  <c r="I33" i="4" s="1"/>
  <c r="E33" i="4"/>
  <c r="D33" i="4"/>
  <c r="F32" i="4"/>
  <c r="G32" i="4" s="1"/>
  <c r="L33" i="4" l="1"/>
  <c r="M33" i="4" s="1"/>
  <c r="N33" i="4" s="1"/>
  <c r="J33" i="4"/>
  <c r="K33" i="4" s="1"/>
  <c r="B35" i="4"/>
  <c r="H34" i="4"/>
  <c r="I34" i="4" s="1"/>
  <c r="E34" i="4"/>
  <c r="D34" i="4"/>
  <c r="F33" i="4"/>
  <c r="G33" i="4" s="1"/>
  <c r="L34" i="4" l="1"/>
  <c r="M34" i="4" s="1"/>
  <c r="N34" i="4" s="1"/>
  <c r="J34" i="4"/>
  <c r="K34" i="4" s="1"/>
  <c r="B36" i="4"/>
  <c r="E35" i="4"/>
  <c r="H35" i="4"/>
  <c r="I35" i="4" s="1"/>
  <c r="D35" i="4"/>
  <c r="F34" i="4"/>
  <c r="G34" i="4" s="1"/>
  <c r="L35" i="4" l="1"/>
  <c r="M35" i="4" s="1"/>
  <c r="N35" i="4" s="1"/>
  <c r="J35" i="4"/>
  <c r="K35" i="4" s="1"/>
  <c r="B37" i="4"/>
  <c r="H36" i="4"/>
  <c r="I36" i="4" s="1"/>
  <c r="E36" i="4"/>
  <c r="D36" i="4"/>
  <c r="F35" i="4"/>
  <c r="G35" i="4" s="1"/>
  <c r="L36" i="4" l="1"/>
  <c r="M36" i="4" s="1"/>
  <c r="N36" i="4" s="1"/>
  <c r="J36" i="4"/>
  <c r="K36" i="4" s="1"/>
  <c r="B38" i="4"/>
  <c r="H37" i="4"/>
  <c r="I37" i="4" s="1"/>
  <c r="E37" i="4"/>
  <c r="D37" i="4"/>
  <c r="F36" i="4"/>
  <c r="G36" i="4" s="1"/>
  <c r="L37" i="4" l="1"/>
  <c r="M37" i="4" s="1"/>
  <c r="N37" i="4" s="1"/>
  <c r="J37" i="4"/>
  <c r="K37" i="4" s="1"/>
  <c r="B39" i="4"/>
  <c r="E38" i="4"/>
  <c r="H38" i="4"/>
  <c r="I38" i="4" s="1"/>
  <c r="D38" i="4"/>
  <c r="F37" i="4"/>
  <c r="G37" i="4" s="1"/>
  <c r="L38" i="4" l="1"/>
  <c r="M38" i="4" s="1"/>
  <c r="N38" i="4" s="1"/>
  <c r="J38" i="4"/>
  <c r="K38" i="4" s="1"/>
  <c r="B40" i="4"/>
  <c r="H39" i="4"/>
  <c r="I39" i="4" s="1"/>
  <c r="E39" i="4"/>
  <c r="D39" i="4"/>
  <c r="F38" i="4"/>
  <c r="G38" i="4" s="1"/>
  <c r="L39" i="4" l="1"/>
  <c r="M39" i="4" s="1"/>
  <c r="N39" i="4" s="1"/>
  <c r="J39" i="4"/>
  <c r="K39" i="4" s="1"/>
  <c r="B41" i="4"/>
  <c r="E40" i="4"/>
  <c r="H40" i="4"/>
  <c r="I40" i="4" s="1"/>
  <c r="D40" i="4"/>
  <c r="F39" i="4"/>
  <c r="G39" i="4" s="1"/>
  <c r="L40" i="4" l="1"/>
  <c r="M40" i="4" s="1"/>
  <c r="N40" i="4" s="1"/>
  <c r="J40" i="4"/>
  <c r="K40" i="4" s="1"/>
  <c r="B42" i="4"/>
  <c r="H41" i="4"/>
  <c r="I41" i="4" s="1"/>
  <c r="E41" i="4"/>
  <c r="D41" i="4"/>
  <c r="F40" i="4"/>
  <c r="G40" i="4" s="1"/>
  <c r="L41" i="4" l="1"/>
  <c r="M41" i="4" s="1"/>
  <c r="N41" i="4" s="1"/>
  <c r="J41" i="4"/>
  <c r="K41" i="4" s="1"/>
  <c r="B43" i="4"/>
  <c r="H42" i="4"/>
  <c r="I42" i="4" s="1"/>
  <c r="E42" i="4"/>
  <c r="D42" i="4"/>
  <c r="F41" i="4"/>
  <c r="G41" i="4" s="1"/>
  <c r="L42" i="4" l="1"/>
  <c r="M42" i="4" s="1"/>
  <c r="N42" i="4" s="1"/>
  <c r="J42" i="4"/>
  <c r="K42" i="4" s="1"/>
  <c r="B44" i="4"/>
  <c r="H43" i="4"/>
  <c r="I43" i="4" s="1"/>
  <c r="E43" i="4"/>
  <c r="D43" i="4"/>
  <c r="F42" i="4"/>
  <c r="G42" i="4" s="1"/>
  <c r="L43" i="4" l="1"/>
  <c r="M43" i="4" s="1"/>
  <c r="N43" i="4" s="1"/>
  <c r="J43" i="4"/>
  <c r="K43" i="4" s="1"/>
  <c r="B45" i="4"/>
  <c r="H44" i="4"/>
  <c r="I44" i="4" s="1"/>
  <c r="E44" i="4"/>
  <c r="D44" i="4"/>
  <c r="F43" i="4"/>
  <c r="G43" i="4" s="1"/>
  <c r="L44" i="4" l="1"/>
  <c r="M44" i="4" s="1"/>
  <c r="N44" i="4" s="1"/>
  <c r="J44" i="4"/>
  <c r="K44" i="4" s="1"/>
  <c r="B46" i="4"/>
  <c r="H45" i="4"/>
  <c r="I45" i="4" s="1"/>
  <c r="E45" i="4"/>
  <c r="D45" i="4"/>
  <c r="F44" i="4"/>
  <c r="G44" i="4" s="1"/>
  <c r="L45" i="4" l="1"/>
  <c r="M45" i="4" s="1"/>
  <c r="N45" i="4" s="1"/>
  <c r="J45" i="4"/>
  <c r="K45" i="4" s="1"/>
  <c r="B47" i="4"/>
  <c r="E46" i="4"/>
  <c r="H46" i="4"/>
  <c r="I46" i="4" s="1"/>
  <c r="D46" i="4"/>
  <c r="F45" i="4"/>
  <c r="G45" i="4" s="1"/>
  <c r="L46" i="4" l="1"/>
  <c r="M46" i="4" s="1"/>
  <c r="N46" i="4" s="1"/>
  <c r="J46" i="4"/>
  <c r="K46" i="4" s="1"/>
  <c r="H47" i="4"/>
  <c r="I47" i="4" s="1"/>
  <c r="E47" i="4"/>
  <c r="B48" i="4"/>
  <c r="D47" i="4"/>
  <c r="F46" i="4"/>
  <c r="G46" i="4" s="1"/>
  <c r="L47" i="4" l="1"/>
  <c r="M47" i="4" s="1"/>
  <c r="N47" i="4" s="1"/>
  <c r="J47" i="4"/>
  <c r="K47" i="4" s="1"/>
  <c r="B49" i="4"/>
  <c r="H48" i="4"/>
  <c r="I48" i="4" s="1"/>
  <c r="E48" i="4"/>
  <c r="D48" i="4"/>
  <c r="F47" i="4"/>
  <c r="G47" i="4" s="1"/>
  <c r="L48" i="4" l="1"/>
  <c r="M48" i="4" s="1"/>
  <c r="N48" i="4" s="1"/>
  <c r="J48" i="4"/>
  <c r="K48" i="4" s="1"/>
  <c r="B50" i="4"/>
  <c r="E49" i="4"/>
  <c r="H49" i="4"/>
  <c r="I49" i="4" s="1"/>
  <c r="D49" i="4"/>
  <c r="F48" i="4"/>
  <c r="G48" i="4" s="1"/>
  <c r="L49" i="4" l="1"/>
  <c r="M49" i="4" s="1"/>
  <c r="N49" i="4" s="1"/>
  <c r="J49" i="4"/>
  <c r="K49" i="4" s="1"/>
  <c r="B51" i="4"/>
  <c r="H50" i="4"/>
  <c r="I50" i="4" s="1"/>
  <c r="E50" i="4"/>
  <c r="D50" i="4"/>
  <c r="F49" i="4"/>
  <c r="G49" i="4" s="1"/>
  <c r="L50" i="4" l="1"/>
  <c r="M50" i="4" s="1"/>
  <c r="N50" i="4" s="1"/>
  <c r="J50" i="4"/>
  <c r="K50" i="4" s="1"/>
  <c r="B52" i="4"/>
  <c r="E51" i="4"/>
  <c r="H51" i="4"/>
  <c r="I51" i="4" s="1"/>
  <c r="D51" i="4"/>
  <c r="F50" i="4"/>
  <c r="G50" i="4" s="1"/>
  <c r="L51" i="4" l="1"/>
  <c r="M51" i="4" s="1"/>
  <c r="N51" i="4" s="1"/>
  <c r="J51" i="4"/>
  <c r="K51" i="4" s="1"/>
  <c r="B53" i="4"/>
  <c r="H52" i="4"/>
  <c r="I52" i="4" s="1"/>
  <c r="E52" i="4"/>
  <c r="D52" i="4"/>
  <c r="F51" i="4"/>
  <c r="G51" i="4" s="1"/>
  <c r="L52" i="4" l="1"/>
  <c r="M52" i="4" s="1"/>
  <c r="N52" i="4" s="1"/>
  <c r="J52" i="4"/>
  <c r="K52" i="4" s="1"/>
  <c r="B54" i="4"/>
  <c r="H53" i="4"/>
  <c r="I53" i="4" s="1"/>
  <c r="E53" i="4"/>
  <c r="D53" i="4"/>
  <c r="F52" i="4"/>
  <c r="G52" i="4" s="1"/>
  <c r="L53" i="4" l="1"/>
  <c r="M53" i="4" s="1"/>
  <c r="N53" i="4" s="1"/>
  <c r="J53" i="4"/>
  <c r="K53" i="4" s="1"/>
  <c r="B55" i="4"/>
  <c r="E54" i="4"/>
  <c r="H54" i="4"/>
  <c r="I54" i="4" s="1"/>
  <c r="D54" i="4"/>
  <c r="F53" i="4"/>
  <c r="G53" i="4" s="1"/>
  <c r="L54" i="4" l="1"/>
  <c r="M54" i="4" s="1"/>
  <c r="N54" i="4" s="1"/>
  <c r="J54" i="4"/>
  <c r="K54" i="4" s="1"/>
  <c r="B56" i="4"/>
  <c r="H55" i="4"/>
  <c r="I55" i="4" s="1"/>
  <c r="E55" i="4"/>
  <c r="D55" i="4"/>
  <c r="F54" i="4"/>
  <c r="G54" i="4" s="1"/>
  <c r="L55" i="4" l="1"/>
  <c r="M55" i="4" s="1"/>
  <c r="N55" i="4" s="1"/>
  <c r="J55" i="4"/>
  <c r="K55" i="4" s="1"/>
  <c r="B57" i="4"/>
  <c r="H56" i="4"/>
  <c r="I56" i="4" s="1"/>
  <c r="E56" i="4"/>
  <c r="D56" i="4"/>
  <c r="F55" i="4"/>
  <c r="G55" i="4" s="1"/>
  <c r="L56" i="4" l="1"/>
  <c r="M56" i="4" s="1"/>
  <c r="N56" i="4" s="1"/>
  <c r="J56" i="4"/>
  <c r="K56" i="4" s="1"/>
  <c r="B58" i="4"/>
  <c r="H57" i="4"/>
  <c r="I57" i="4" s="1"/>
  <c r="E57" i="4"/>
  <c r="D57" i="4"/>
  <c r="F56" i="4"/>
  <c r="G56" i="4" s="1"/>
  <c r="L57" i="4" l="1"/>
  <c r="M57" i="4" s="1"/>
  <c r="N57" i="4" s="1"/>
  <c r="J57" i="4"/>
  <c r="K57" i="4" s="1"/>
  <c r="B59" i="4"/>
  <c r="H58" i="4"/>
  <c r="I58" i="4" s="1"/>
  <c r="E58" i="4"/>
  <c r="D58" i="4"/>
  <c r="F57" i="4"/>
  <c r="G57" i="4" s="1"/>
  <c r="L58" i="4" l="1"/>
  <c r="M58" i="4" s="1"/>
  <c r="N58" i="4" s="1"/>
  <c r="J58" i="4"/>
  <c r="K58" i="4" s="1"/>
  <c r="E59" i="4"/>
  <c r="B60" i="4"/>
  <c r="H59" i="4"/>
  <c r="I59" i="4" s="1"/>
  <c r="D59" i="4"/>
  <c r="F58" i="4"/>
  <c r="G58" i="4" s="1"/>
  <c r="L59" i="4" l="1"/>
  <c r="M59" i="4" s="1"/>
  <c r="N59" i="4" s="1"/>
  <c r="J59" i="4"/>
  <c r="K59" i="4" s="1"/>
  <c r="B61" i="4"/>
  <c r="H60" i="4"/>
  <c r="I60" i="4" s="1"/>
  <c r="E60" i="4"/>
  <c r="D60" i="4"/>
  <c r="F59" i="4"/>
  <c r="G59" i="4" s="1"/>
  <c r="L60" i="4" l="1"/>
  <c r="M60" i="4" s="1"/>
  <c r="N60" i="4" s="1"/>
  <c r="J60" i="4"/>
  <c r="K60" i="4" s="1"/>
  <c r="B62" i="4"/>
  <c r="H61" i="4"/>
  <c r="I61" i="4" s="1"/>
  <c r="E61" i="4"/>
  <c r="D61" i="4"/>
  <c r="F60" i="4"/>
  <c r="G60" i="4" s="1"/>
  <c r="L61" i="4" l="1"/>
  <c r="M61" i="4" s="1"/>
  <c r="N61" i="4" s="1"/>
  <c r="J61" i="4"/>
  <c r="K61" i="4" s="1"/>
  <c r="B63" i="4"/>
  <c r="E62" i="4"/>
  <c r="H62" i="4"/>
  <c r="I62" i="4" s="1"/>
  <c r="D62" i="4"/>
  <c r="F61" i="4"/>
  <c r="G61" i="4" s="1"/>
  <c r="L62" i="4" l="1"/>
  <c r="M62" i="4" s="1"/>
  <c r="N62" i="4" s="1"/>
  <c r="J62" i="4"/>
  <c r="K62" i="4" s="1"/>
  <c r="B64" i="4"/>
  <c r="H63" i="4"/>
  <c r="I63" i="4" s="1"/>
  <c r="E63" i="4"/>
  <c r="D63" i="4"/>
  <c r="F62" i="4"/>
  <c r="G62" i="4" s="1"/>
  <c r="L63" i="4" l="1"/>
  <c r="M63" i="4" s="1"/>
  <c r="N63" i="4" s="1"/>
  <c r="J63" i="4"/>
  <c r="K63" i="4" s="1"/>
  <c r="B65" i="4"/>
  <c r="H64" i="4"/>
  <c r="I64" i="4" s="1"/>
  <c r="E64" i="4"/>
  <c r="D64" i="4"/>
  <c r="F63" i="4"/>
  <c r="G63" i="4" s="1"/>
  <c r="L64" i="4" l="1"/>
  <c r="M64" i="4" s="1"/>
  <c r="N64" i="4" s="1"/>
  <c r="J64" i="4"/>
  <c r="K64" i="4" s="1"/>
  <c r="B66" i="4"/>
  <c r="H65" i="4"/>
  <c r="I65" i="4" s="1"/>
  <c r="E65" i="4"/>
  <c r="D65" i="4"/>
  <c r="F64" i="4"/>
  <c r="G64" i="4" s="1"/>
  <c r="L65" i="4" l="1"/>
  <c r="M65" i="4" s="1"/>
  <c r="N65" i="4" s="1"/>
  <c r="J65" i="4"/>
  <c r="K65" i="4" s="1"/>
  <c r="B67" i="4"/>
  <c r="E66" i="4"/>
  <c r="H66" i="4"/>
  <c r="I66" i="4" s="1"/>
  <c r="D66" i="4"/>
  <c r="F65" i="4"/>
  <c r="G65" i="4" s="1"/>
  <c r="L66" i="4" l="1"/>
  <c r="M66" i="4" s="1"/>
  <c r="N66" i="4" s="1"/>
  <c r="J66" i="4"/>
  <c r="K66" i="4" s="1"/>
  <c r="B68" i="4"/>
  <c r="H67" i="4"/>
  <c r="I67" i="4" s="1"/>
  <c r="E67" i="4"/>
  <c r="D67" i="4"/>
  <c r="F66" i="4"/>
  <c r="G66" i="4" s="1"/>
  <c r="L67" i="4" l="1"/>
  <c r="M67" i="4" s="1"/>
  <c r="N67" i="4" s="1"/>
  <c r="J67" i="4"/>
  <c r="K67" i="4" s="1"/>
  <c r="B69" i="4"/>
  <c r="H68" i="4"/>
  <c r="I68" i="4" s="1"/>
  <c r="E68" i="4"/>
  <c r="D68" i="4"/>
  <c r="F67" i="4"/>
  <c r="G67" i="4" s="1"/>
  <c r="L68" i="4" l="1"/>
  <c r="M68" i="4" s="1"/>
  <c r="N68" i="4" s="1"/>
  <c r="J68" i="4"/>
  <c r="K68" i="4" s="1"/>
  <c r="B70" i="4"/>
  <c r="H69" i="4"/>
  <c r="I69" i="4" s="1"/>
  <c r="E69" i="4"/>
  <c r="D69" i="4"/>
  <c r="F68" i="4"/>
  <c r="G68" i="4" s="1"/>
  <c r="L69" i="4" l="1"/>
  <c r="M69" i="4" s="1"/>
  <c r="N69" i="4" s="1"/>
  <c r="J69" i="4"/>
  <c r="K69" i="4" s="1"/>
  <c r="B71" i="4"/>
  <c r="E70" i="4"/>
  <c r="H70" i="4"/>
  <c r="I70" i="4" s="1"/>
  <c r="D70" i="4"/>
  <c r="F69" i="4"/>
  <c r="G69" i="4" s="1"/>
  <c r="L70" i="4" l="1"/>
  <c r="M70" i="4" s="1"/>
  <c r="N70" i="4" s="1"/>
  <c r="J70" i="4"/>
  <c r="K70" i="4" s="1"/>
  <c r="B72" i="4"/>
  <c r="H71" i="4"/>
  <c r="I71" i="4" s="1"/>
  <c r="E71" i="4"/>
  <c r="D71" i="4"/>
  <c r="F70" i="4"/>
  <c r="G70" i="4" s="1"/>
  <c r="L71" i="4" l="1"/>
  <c r="M71" i="4" s="1"/>
  <c r="N71" i="4" s="1"/>
  <c r="J71" i="4"/>
  <c r="K71" i="4" s="1"/>
  <c r="B73" i="4"/>
  <c r="H72" i="4"/>
  <c r="I72" i="4" s="1"/>
  <c r="E72" i="4"/>
  <c r="D72" i="4"/>
  <c r="F71" i="4"/>
  <c r="G71" i="4" s="1"/>
  <c r="L72" i="4" l="1"/>
  <c r="M72" i="4" s="1"/>
  <c r="N72" i="4" s="1"/>
  <c r="J72" i="4"/>
  <c r="K72" i="4" s="1"/>
  <c r="B74" i="4"/>
  <c r="E73" i="4"/>
  <c r="H73" i="4"/>
  <c r="I73" i="4" s="1"/>
  <c r="D73" i="4"/>
  <c r="F72" i="4"/>
  <c r="G72" i="4" s="1"/>
  <c r="L73" i="4" l="1"/>
  <c r="M73" i="4" s="1"/>
  <c r="N73" i="4" s="1"/>
  <c r="J73" i="4"/>
  <c r="K73" i="4" s="1"/>
  <c r="B75" i="4"/>
  <c r="H74" i="4"/>
  <c r="I74" i="4" s="1"/>
  <c r="E74" i="4"/>
  <c r="D74" i="4"/>
  <c r="F73" i="4"/>
  <c r="G73" i="4" s="1"/>
  <c r="L74" i="4" l="1"/>
  <c r="M74" i="4" s="1"/>
  <c r="N74" i="4" s="1"/>
  <c r="J74" i="4"/>
  <c r="K74" i="4" s="1"/>
  <c r="B76" i="4"/>
  <c r="E75" i="4"/>
  <c r="H75" i="4"/>
  <c r="I75" i="4" s="1"/>
  <c r="D75" i="4"/>
  <c r="F74" i="4"/>
  <c r="G74" i="4" s="1"/>
  <c r="L75" i="4" l="1"/>
  <c r="M75" i="4" s="1"/>
  <c r="N75" i="4" s="1"/>
  <c r="J75" i="4"/>
  <c r="K75" i="4" s="1"/>
  <c r="B77" i="4"/>
  <c r="H76" i="4"/>
  <c r="I76" i="4" s="1"/>
  <c r="E76" i="4"/>
  <c r="D76" i="4"/>
  <c r="F75" i="4"/>
  <c r="G75" i="4" s="1"/>
  <c r="L76" i="4" l="1"/>
  <c r="M76" i="4" s="1"/>
  <c r="N76" i="4" s="1"/>
  <c r="J76" i="4"/>
  <c r="K76" i="4" s="1"/>
  <c r="B78" i="4"/>
  <c r="H77" i="4"/>
  <c r="I77" i="4" s="1"/>
  <c r="E77" i="4"/>
  <c r="D77" i="4"/>
  <c r="F76" i="4"/>
  <c r="G76" i="4" s="1"/>
  <c r="L77" i="4" l="1"/>
  <c r="M77" i="4" s="1"/>
  <c r="N77" i="4" s="1"/>
  <c r="J77" i="4"/>
  <c r="K77" i="4" s="1"/>
  <c r="B79" i="4"/>
  <c r="E78" i="4"/>
  <c r="H78" i="4"/>
  <c r="I78" i="4" s="1"/>
  <c r="D78" i="4"/>
  <c r="F77" i="4"/>
  <c r="G77" i="4" s="1"/>
  <c r="L78" i="4" l="1"/>
  <c r="M78" i="4" s="1"/>
  <c r="N78" i="4" s="1"/>
  <c r="J78" i="4"/>
  <c r="K78" i="4" s="1"/>
  <c r="B80" i="4"/>
  <c r="H79" i="4"/>
  <c r="I79" i="4" s="1"/>
  <c r="E79" i="4"/>
  <c r="D79" i="4"/>
  <c r="F78" i="4"/>
  <c r="G78" i="4" s="1"/>
  <c r="L79" i="4" l="1"/>
  <c r="M79" i="4" s="1"/>
  <c r="N79" i="4" s="1"/>
  <c r="J79" i="4"/>
  <c r="K79" i="4" s="1"/>
  <c r="B81" i="4"/>
  <c r="H80" i="4"/>
  <c r="I80" i="4" s="1"/>
  <c r="E80" i="4"/>
  <c r="D80" i="4"/>
  <c r="F79" i="4"/>
  <c r="G79" i="4" s="1"/>
  <c r="L80" i="4" l="1"/>
  <c r="M80" i="4" s="1"/>
  <c r="N80" i="4" s="1"/>
  <c r="J80" i="4"/>
  <c r="K80" i="4" s="1"/>
  <c r="B82" i="4"/>
  <c r="H81" i="4"/>
  <c r="I81" i="4" s="1"/>
  <c r="E81" i="4"/>
  <c r="D81" i="4"/>
  <c r="F80" i="4"/>
  <c r="G80" i="4" s="1"/>
  <c r="L81" i="4" l="1"/>
  <c r="M81" i="4" s="1"/>
  <c r="N81" i="4" s="1"/>
  <c r="J81" i="4"/>
  <c r="K81" i="4" s="1"/>
  <c r="B83" i="4"/>
  <c r="H82" i="4"/>
  <c r="I82" i="4" s="1"/>
  <c r="E82" i="4"/>
  <c r="D82" i="4"/>
  <c r="F81" i="4"/>
  <c r="G81" i="4" s="1"/>
  <c r="L82" i="4" l="1"/>
  <c r="M82" i="4" s="1"/>
  <c r="N82" i="4" s="1"/>
  <c r="J82" i="4"/>
  <c r="K82" i="4" s="1"/>
  <c r="E83" i="4"/>
  <c r="H83" i="4"/>
  <c r="I83" i="4" s="1"/>
  <c r="B84" i="4"/>
  <c r="D83" i="4"/>
  <c r="F82" i="4"/>
  <c r="G82" i="4" s="1"/>
  <c r="L83" i="4" l="1"/>
  <c r="M83" i="4" s="1"/>
  <c r="N83" i="4" s="1"/>
  <c r="J83" i="4"/>
  <c r="K83" i="4" s="1"/>
  <c r="B85" i="4"/>
  <c r="H84" i="4"/>
  <c r="I84" i="4" s="1"/>
  <c r="E84" i="4"/>
  <c r="D84" i="4"/>
  <c r="F83" i="4"/>
  <c r="G83" i="4" s="1"/>
  <c r="L84" i="4" l="1"/>
  <c r="M84" i="4" s="1"/>
  <c r="N84" i="4" s="1"/>
  <c r="J84" i="4"/>
  <c r="K84" i="4" s="1"/>
  <c r="B86" i="4"/>
  <c r="H85" i="4"/>
  <c r="I85" i="4" s="1"/>
  <c r="E85" i="4"/>
  <c r="D85" i="4"/>
  <c r="F84" i="4"/>
  <c r="G84" i="4" s="1"/>
  <c r="L85" i="4" l="1"/>
  <c r="M85" i="4" s="1"/>
  <c r="N85" i="4" s="1"/>
  <c r="J85" i="4"/>
  <c r="K85" i="4" s="1"/>
  <c r="B87" i="4"/>
  <c r="E86" i="4"/>
  <c r="H86" i="4"/>
  <c r="I86" i="4" s="1"/>
  <c r="D86" i="4"/>
  <c r="F85" i="4"/>
  <c r="G85" i="4" s="1"/>
  <c r="L86" i="4" l="1"/>
  <c r="M86" i="4" s="1"/>
  <c r="N86" i="4" s="1"/>
  <c r="J86" i="4"/>
  <c r="K86" i="4" s="1"/>
  <c r="B88" i="4"/>
  <c r="H87" i="4"/>
  <c r="I87" i="4" s="1"/>
  <c r="E87" i="4"/>
  <c r="D87" i="4"/>
  <c r="F86" i="4"/>
  <c r="G86" i="4" s="1"/>
  <c r="L87" i="4" l="1"/>
  <c r="M87" i="4" s="1"/>
  <c r="N87" i="4" s="1"/>
  <c r="J87" i="4"/>
  <c r="K87" i="4" s="1"/>
  <c r="B89" i="4"/>
  <c r="H88" i="4"/>
  <c r="I88" i="4" s="1"/>
  <c r="E88" i="4"/>
  <c r="D88" i="4"/>
  <c r="F87" i="4"/>
  <c r="G87" i="4" s="1"/>
  <c r="L88" i="4" l="1"/>
  <c r="M88" i="4" s="1"/>
  <c r="N88" i="4" s="1"/>
  <c r="J88" i="4"/>
  <c r="K88" i="4" s="1"/>
  <c r="B90" i="4"/>
  <c r="E89" i="4"/>
  <c r="H89" i="4"/>
  <c r="I89" i="4" s="1"/>
  <c r="D89" i="4"/>
  <c r="F88" i="4"/>
  <c r="G88" i="4" s="1"/>
  <c r="L89" i="4" l="1"/>
  <c r="M89" i="4" s="1"/>
  <c r="N89" i="4" s="1"/>
  <c r="J89" i="4"/>
  <c r="K89" i="4" s="1"/>
  <c r="B91" i="4"/>
  <c r="E90" i="4"/>
  <c r="H90" i="4"/>
  <c r="I90" i="4" s="1"/>
  <c r="D90" i="4"/>
  <c r="F89" i="4"/>
  <c r="G89" i="4" s="1"/>
  <c r="L90" i="4" l="1"/>
  <c r="M90" i="4" s="1"/>
  <c r="N90" i="4" s="1"/>
  <c r="J90" i="4"/>
  <c r="K90" i="4" s="1"/>
  <c r="B92" i="4"/>
  <c r="H91" i="4"/>
  <c r="I91" i="4" s="1"/>
  <c r="E91" i="4"/>
  <c r="D91" i="4"/>
  <c r="F90" i="4"/>
  <c r="G90" i="4" s="1"/>
  <c r="L91" i="4" l="1"/>
  <c r="M91" i="4" s="1"/>
  <c r="N91" i="4" s="1"/>
  <c r="J91" i="4"/>
  <c r="K91" i="4" s="1"/>
  <c r="B93" i="4"/>
  <c r="H92" i="4"/>
  <c r="I92" i="4" s="1"/>
  <c r="E92" i="4"/>
  <c r="D92" i="4"/>
  <c r="F91" i="4"/>
  <c r="G91" i="4" s="1"/>
  <c r="L92" i="4" l="1"/>
  <c r="M92" i="4" s="1"/>
  <c r="N92" i="4" s="1"/>
  <c r="J92" i="4"/>
  <c r="K92" i="4" s="1"/>
  <c r="B94" i="4"/>
  <c r="H93" i="4"/>
  <c r="I93" i="4" s="1"/>
  <c r="E93" i="4"/>
  <c r="D93" i="4"/>
  <c r="F92" i="4"/>
  <c r="G92" i="4" s="1"/>
  <c r="L93" i="4" l="1"/>
  <c r="M93" i="4" s="1"/>
  <c r="N93" i="4" s="1"/>
  <c r="J93" i="4"/>
  <c r="K93" i="4" s="1"/>
  <c r="B95" i="4"/>
  <c r="E94" i="4"/>
  <c r="H94" i="4"/>
  <c r="I94" i="4" s="1"/>
  <c r="D94" i="4"/>
  <c r="F93" i="4"/>
  <c r="G93" i="4" s="1"/>
  <c r="L94" i="4" l="1"/>
  <c r="M94" i="4" s="1"/>
  <c r="N94" i="4" s="1"/>
  <c r="J94" i="4"/>
  <c r="K94" i="4" s="1"/>
  <c r="B96" i="4"/>
  <c r="H95" i="4"/>
  <c r="I95" i="4" s="1"/>
  <c r="E95" i="4"/>
  <c r="D95" i="4"/>
  <c r="F94" i="4"/>
  <c r="G94" i="4" s="1"/>
  <c r="L95" i="4" l="1"/>
  <c r="M95" i="4" s="1"/>
  <c r="N95" i="4" s="1"/>
  <c r="J95" i="4"/>
  <c r="K95" i="4" s="1"/>
  <c r="B97" i="4"/>
  <c r="H96" i="4"/>
  <c r="I96" i="4" s="1"/>
  <c r="E96" i="4"/>
  <c r="D96" i="4"/>
  <c r="F95" i="4"/>
  <c r="G95" i="4" s="1"/>
  <c r="L96" i="4" l="1"/>
  <c r="M96" i="4" s="1"/>
  <c r="N96" i="4" s="1"/>
  <c r="J96" i="4"/>
  <c r="K96" i="4" s="1"/>
  <c r="B98" i="4"/>
  <c r="H97" i="4"/>
  <c r="I97" i="4" s="1"/>
  <c r="E97" i="4"/>
  <c r="D97" i="4"/>
  <c r="F96" i="4"/>
  <c r="G96" i="4" s="1"/>
  <c r="L97" i="4" l="1"/>
  <c r="M97" i="4" s="1"/>
  <c r="N97" i="4" s="1"/>
  <c r="J97" i="4"/>
  <c r="K97" i="4" s="1"/>
  <c r="B99" i="4"/>
  <c r="E98" i="4"/>
  <c r="H98" i="4"/>
  <c r="I98" i="4" s="1"/>
  <c r="D98" i="4"/>
  <c r="F97" i="4"/>
  <c r="G97" i="4" s="1"/>
  <c r="L98" i="4" l="1"/>
  <c r="M98" i="4" s="1"/>
  <c r="N98" i="4" s="1"/>
  <c r="J98" i="4"/>
  <c r="K98" i="4" s="1"/>
  <c r="B100" i="4"/>
  <c r="E99" i="4"/>
  <c r="H99" i="4"/>
  <c r="I99" i="4" s="1"/>
  <c r="D99" i="4"/>
  <c r="F98" i="4"/>
  <c r="G98" i="4" s="1"/>
  <c r="L99" i="4" l="1"/>
  <c r="M99" i="4" s="1"/>
  <c r="N99" i="4" s="1"/>
  <c r="J99" i="4"/>
  <c r="K99" i="4" s="1"/>
  <c r="B101" i="4"/>
  <c r="H100" i="4"/>
  <c r="I100" i="4" s="1"/>
  <c r="E100" i="4"/>
  <c r="D100" i="4"/>
  <c r="F99" i="4"/>
  <c r="G99" i="4" s="1"/>
  <c r="L100" i="4" l="1"/>
  <c r="M100" i="4" s="1"/>
  <c r="N100" i="4" s="1"/>
  <c r="J100" i="4"/>
  <c r="K100" i="4" s="1"/>
  <c r="B102" i="4"/>
  <c r="H101" i="4"/>
  <c r="I101" i="4" s="1"/>
  <c r="E101" i="4"/>
  <c r="D101" i="4"/>
  <c r="F100" i="4"/>
  <c r="G100" i="4" s="1"/>
  <c r="L101" i="4" l="1"/>
  <c r="M101" i="4" s="1"/>
  <c r="N101" i="4" s="1"/>
  <c r="J101" i="4"/>
  <c r="K101" i="4" s="1"/>
  <c r="B103" i="4"/>
  <c r="E102" i="4"/>
  <c r="H102" i="4"/>
  <c r="I102" i="4" s="1"/>
  <c r="D102" i="4"/>
  <c r="F101" i="4"/>
  <c r="G101" i="4" s="1"/>
  <c r="L102" i="4" l="1"/>
  <c r="M102" i="4" s="1"/>
  <c r="N102" i="4" s="1"/>
  <c r="J102" i="4"/>
  <c r="K102" i="4" s="1"/>
  <c r="B104" i="4"/>
  <c r="H103" i="4"/>
  <c r="I103" i="4" s="1"/>
  <c r="E103" i="4"/>
  <c r="D103" i="4"/>
  <c r="F102" i="4"/>
  <c r="G102" i="4" s="1"/>
  <c r="L103" i="4" l="1"/>
  <c r="M103" i="4" s="1"/>
  <c r="N103" i="4" s="1"/>
  <c r="J103" i="4"/>
  <c r="K103" i="4" s="1"/>
  <c r="B105" i="4"/>
  <c r="H104" i="4"/>
  <c r="I104" i="4" s="1"/>
  <c r="E104" i="4"/>
  <c r="D104" i="4"/>
  <c r="F103" i="4"/>
  <c r="G103" i="4" s="1"/>
  <c r="L104" i="4" l="1"/>
  <c r="M104" i="4" s="1"/>
  <c r="N104" i="4" s="1"/>
  <c r="J104" i="4"/>
  <c r="K104" i="4" s="1"/>
  <c r="B106" i="4"/>
  <c r="E105" i="4"/>
  <c r="H105" i="4"/>
  <c r="I105" i="4" s="1"/>
  <c r="D105" i="4"/>
  <c r="F104" i="4"/>
  <c r="G104" i="4" s="1"/>
  <c r="L105" i="4" l="1"/>
  <c r="M105" i="4" s="1"/>
  <c r="N105" i="4" s="1"/>
  <c r="J105" i="4"/>
  <c r="K105" i="4" s="1"/>
  <c r="B107" i="4"/>
  <c r="H106" i="4"/>
  <c r="I106" i="4" s="1"/>
  <c r="E106" i="4"/>
  <c r="D106" i="4"/>
  <c r="F105" i="4"/>
  <c r="G105" i="4" s="1"/>
  <c r="L106" i="4" l="1"/>
  <c r="M106" i="4" s="1"/>
  <c r="N106" i="4" s="1"/>
  <c r="B108" i="4"/>
  <c r="H108" i="4" s="1"/>
  <c r="I108" i="4" s="1"/>
  <c r="J106" i="4"/>
  <c r="K106" i="4" s="1"/>
  <c r="E107" i="4"/>
  <c r="H107" i="4"/>
  <c r="I107" i="4" s="1"/>
  <c r="D107" i="4"/>
  <c r="D108" i="4" s="1"/>
  <c r="D109" i="4" s="1"/>
  <c r="D110" i="4" s="1"/>
  <c r="D111" i="4" s="1"/>
  <c r="D112" i="4" s="1"/>
  <c r="D113" i="4" s="1"/>
  <c r="D114" i="4" s="1"/>
  <c r="D115" i="4" s="1"/>
  <c r="D116" i="4" s="1"/>
  <c r="D117" i="4" s="1"/>
  <c r="D118" i="4" s="1"/>
  <c r="D119" i="4" s="1"/>
  <c r="D120" i="4" s="1"/>
  <c r="D121" i="4" s="1"/>
  <c r="D122" i="4" s="1"/>
  <c r="D123" i="4" s="1"/>
  <c r="D124" i="4" s="1"/>
  <c r="D125" i="4" s="1"/>
  <c r="D126" i="4" s="1"/>
  <c r="D127" i="4" s="1"/>
  <c r="D128" i="4" s="1"/>
  <c r="D129" i="4" s="1"/>
  <c r="D130" i="4" s="1"/>
  <c r="D131" i="4" s="1"/>
  <c r="D132" i="4" s="1"/>
  <c r="D133" i="4" s="1"/>
  <c r="D134" i="4" s="1"/>
  <c r="D135" i="4" s="1"/>
  <c r="D136" i="4" s="1"/>
  <c r="D137" i="4" s="1"/>
  <c r="D138" i="4" s="1"/>
  <c r="D139" i="4" s="1"/>
  <c r="D140" i="4" s="1"/>
  <c r="D141" i="4" s="1"/>
  <c r="D142" i="4" s="1"/>
  <c r="D143" i="4" s="1"/>
  <c r="D144" i="4" s="1"/>
  <c r="D145" i="4" s="1"/>
  <c r="D146" i="4" s="1"/>
  <c r="D147" i="4" s="1"/>
  <c r="D148" i="4" s="1"/>
  <c r="D149" i="4" s="1"/>
  <c r="D150" i="4" s="1"/>
  <c r="D151" i="4" s="1"/>
  <c r="D152" i="4" s="1"/>
  <c r="D153" i="4" s="1"/>
  <c r="D154" i="4" s="1"/>
  <c r="D155" i="4" s="1"/>
  <c r="D156" i="4" s="1"/>
  <c r="D157" i="4" s="1"/>
  <c r="D158" i="4" s="1"/>
  <c r="D159" i="4" s="1"/>
  <c r="D160" i="4" s="1"/>
  <c r="D161" i="4" s="1"/>
  <c r="D162" i="4" s="1"/>
  <c r="D163" i="4" s="1"/>
  <c r="D164" i="4" s="1"/>
  <c r="D165" i="4" s="1"/>
  <c r="D166" i="4" s="1"/>
  <c r="D167" i="4" s="1"/>
  <c r="D168" i="4" s="1"/>
  <c r="D169" i="4" s="1"/>
  <c r="D170" i="4" s="1"/>
  <c r="D171" i="4" s="1"/>
  <c r="D172" i="4" s="1"/>
  <c r="D173" i="4" s="1"/>
  <c r="D174" i="4" s="1"/>
  <c r="D175" i="4" s="1"/>
  <c r="D176" i="4" s="1"/>
  <c r="D177" i="4" s="1"/>
  <c r="D178" i="4" s="1"/>
  <c r="D179" i="4" s="1"/>
  <c r="D180" i="4" s="1"/>
  <c r="D181" i="4" s="1"/>
  <c r="D182" i="4" s="1"/>
  <c r="D183" i="4" s="1"/>
  <c r="D184" i="4" s="1"/>
  <c r="D185" i="4" s="1"/>
  <c r="D186" i="4" s="1"/>
  <c r="D187" i="4" s="1"/>
  <c r="D188" i="4" s="1"/>
  <c r="D189" i="4" s="1"/>
  <c r="D190" i="4" s="1"/>
  <c r="D191" i="4" s="1"/>
  <c r="D192" i="4" s="1"/>
  <c r="D193" i="4" s="1"/>
  <c r="D194" i="4" s="1"/>
  <c r="D195" i="4" s="1"/>
  <c r="D196" i="4" s="1"/>
  <c r="D197" i="4" s="1"/>
  <c r="D198" i="4" s="1"/>
  <c r="D199" i="4" s="1"/>
  <c r="D200" i="4" s="1"/>
  <c r="D201" i="4" s="1"/>
  <c r="D202" i="4" s="1"/>
  <c r="D203" i="4" s="1"/>
  <c r="D204" i="4" s="1"/>
  <c r="D205" i="4" s="1"/>
  <c r="D206" i="4" s="1"/>
  <c r="D207" i="4" s="1"/>
  <c r="D208" i="4" s="1"/>
  <c r="D209" i="4" s="1"/>
  <c r="D210" i="4" s="1"/>
  <c r="D211" i="4" s="1"/>
  <c r="D212" i="4" s="1"/>
  <c r="D213" i="4" s="1"/>
  <c r="D214" i="4" s="1"/>
  <c r="D215" i="4" s="1"/>
  <c r="D216" i="4" s="1"/>
  <c r="D217" i="4" s="1"/>
  <c r="D218" i="4" s="1"/>
  <c r="D219" i="4" s="1"/>
  <c r="D220" i="4" s="1"/>
  <c r="D221" i="4" s="1"/>
  <c r="D222" i="4" s="1"/>
  <c r="D223" i="4" s="1"/>
  <c r="D224" i="4" s="1"/>
  <c r="D225" i="4" s="1"/>
  <c r="D226" i="4" s="1"/>
  <c r="D227" i="4" s="1"/>
  <c r="D228" i="4" s="1"/>
  <c r="D229" i="4" s="1"/>
  <c r="D230" i="4" s="1"/>
  <c r="D231" i="4" s="1"/>
  <c r="F106" i="4"/>
  <c r="G106" i="4" s="1"/>
  <c r="L107" i="4" l="1"/>
  <c r="M107" i="4" s="1"/>
  <c r="N107" i="4" s="1"/>
  <c r="B109" i="4"/>
  <c r="H109" i="4" s="1"/>
  <c r="I109" i="4" s="1"/>
  <c r="J109" i="4" s="1"/>
  <c r="K109" i="4" s="1"/>
  <c r="E108" i="4"/>
  <c r="F108" i="4" s="1"/>
  <c r="G108" i="4" s="1"/>
  <c r="J108" i="4"/>
  <c r="K108" i="4" s="1"/>
  <c r="F107" i="4"/>
  <c r="G107" i="4" s="1"/>
  <c r="J107" i="4"/>
  <c r="K107" i="4" s="1"/>
  <c r="E109" i="4" l="1"/>
  <c r="F109" i="4" s="1"/>
  <c r="G109" i="4" s="1"/>
  <c r="B110" i="4"/>
  <c r="H110" i="4" s="1"/>
  <c r="I110" i="4" s="1"/>
  <c r="J110" i="4" s="1"/>
  <c r="K110" i="4" s="1"/>
  <c r="L108" i="4"/>
  <c r="M108" i="4" s="1"/>
  <c r="N108" i="4" s="1"/>
  <c r="B111" i="4"/>
  <c r="H111" i="4" s="1"/>
  <c r="I111" i="4" s="1"/>
  <c r="J111" i="4" s="1"/>
  <c r="K111" i="4" s="1"/>
  <c r="E110" i="4" l="1"/>
  <c r="F110" i="4" s="1"/>
  <c r="G110" i="4" s="1"/>
  <c r="L109" i="4"/>
  <c r="M109" i="4" s="1"/>
  <c r="N109" i="4" s="1"/>
  <c r="E111" i="4"/>
  <c r="F111" i="4" s="1"/>
  <c r="G111" i="4" s="1"/>
  <c r="B112" i="4"/>
  <c r="H112" i="4" s="1"/>
  <c r="I112" i="4" s="1"/>
  <c r="J112" i="4" s="1"/>
  <c r="K112" i="4" s="1"/>
  <c r="L110" i="4" l="1"/>
  <c r="M110" i="4" s="1"/>
  <c r="N110" i="4" s="1"/>
  <c r="E112" i="4"/>
  <c r="F112" i="4" s="1"/>
  <c r="G112" i="4" s="1"/>
  <c r="B113" i="4"/>
  <c r="H113" i="4" s="1"/>
  <c r="I113" i="4" s="1"/>
  <c r="J113" i="4" s="1"/>
  <c r="K113" i="4" s="1"/>
  <c r="L111" i="4" l="1"/>
  <c r="M111" i="4" s="1"/>
  <c r="N111" i="4" s="1"/>
  <c r="B114" i="4"/>
  <c r="H114" i="4" s="1"/>
  <c r="I114" i="4" s="1"/>
  <c r="J114" i="4" s="1"/>
  <c r="K114" i="4" s="1"/>
  <c r="E113" i="4"/>
  <c r="F113" i="4" s="1"/>
  <c r="G113" i="4" s="1"/>
  <c r="L112" i="4" l="1"/>
  <c r="M112" i="4" s="1"/>
  <c r="N112" i="4" s="1"/>
  <c r="E114" i="4"/>
  <c r="F114" i="4" s="1"/>
  <c r="G114" i="4" s="1"/>
  <c r="B115" i="4"/>
  <c r="H115" i="4" s="1"/>
  <c r="I115" i="4" s="1"/>
  <c r="J115" i="4" s="1"/>
  <c r="K115" i="4" s="1"/>
  <c r="L113" i="4" l="1"/>
  <c r="M113" i="4" s="1"/>
  <c r="N113" i="4" s="1"/>
  <c r="B116" i="4"/>
  <c r="H116" i="4" s="1"/>
  <c r="I116" i="4" s="1"/>
  <c r="J116" i="4" s="1"/>
  <c r="K116" i="4" s="1"/>
  <c r="E115" i="4"/>
  <c r="F115" i="4" s="1"/>
  <c r="G115" i="4" s="1"/>
  <c r="L114" i="4" l="1"/>
  <c r="M114" i="4" s="1"/>
  <c r="N114" i="4" s="1"/>
  <c r="E116" i="4"/>
  <c r="F116" i="4" s="1"/>
  <c r="G116" i="4" s="1"/>
  <c r="B117" i="4"/>
  <c r="H117" i="4" s="1"/>
  <c r="I117" i="4" s="1"/>
  <c r="J117" i="4" s="1"/>
  <c r="K117" i="4" s="1"/>
  <c r="L115" i="4" l="1"/>
  <c r="M115" i="4" s="1"/>
  <c r="N115" i="4" s="1"/>
  <c r="B118" i="4"/>
  <c r="H118" i="4" s="1"/>
  <c r="I118" i="4" s="1"/>
  <c r="J118" i="4" s="1"/>
  <c r="K118" i="4" s="1"/>
  <c r="E117" i="4"/>
  <c r="F117" i="4" s="1"/>
  <c r="G117" i="4" s="1"/>
  <c r="L116" i="4" l="1"/>
  <c r="M116" i="4" s="1"/>
  <c r="N116" i="4" s="1"/>
  <c r="B119" i="4"/>
  <c r="E118" i="4"/>
  <c r="F118" i="4" s="1"/>
  <c r="G118" i="4" s="1"/>
  <c r="L117" i="4" l="1"/>
  <c r="M117" i="4" s="1"/>
  <c r="N117" i="4" s="1"/>
  <c r="H119" i="4"/>
  <c r="I119" i="4" s="1"/>
  <c r="J119" i="4" s="1"/>
  <c r="K119" i="4" s="1"/>
  <c r="B120" i="4"/>
  <c r="H120" i="4" s="1"/>
  <c r="I120" i="4" s="1"/>
  <c r="J120" i="4" s="1"/>
  <c r="K120" i="4" s="1"/>
  <c r="E119" i="4"/>
  <c r="F119" i="4" s="1"/>
  <c r="G119" i="4" s="1"/>
  <c r="L118" i="4" l="1"/>
  <c r="M118" i="4" s="1"/>
  <c r="N118" i="4" s="1"/>
  <c r="E120" i="4"/>
  <c r="F120" i="4" s="1"/>
  <c r="G120" i="4" s="1"/>
  <c r="B121" i="4"/>
  <c r="H121" i="4" s="1"/>
  <c r="I121" i="4" s="1"/>
  <c r="J121" i="4" s="1"/>
  <c r="K121" i="4" s="1"/>
  <c r="L119" i="4" l="1"/>
  <c r="M119" i="4" s="1"/>
  <c r="N119" i="4" s="1"/>
  <c r="B122" i="4"/>
  <c r="H122" i="4" s="1"/>
  <c r="I122" i="4" s="1"/>
  <c r="J122" i="4" s="1"/>
  <c r="K122" i="4" s="1"/>
  <c r="E121" i="4"/>
  <c r="F121" i="4" s="1"/>
  <c r="G121" i="4" s="1"/>
  <c r="L120" i="4" l="1"/>
  <c r="M120" i="4" s="1"/>
  <c r="N120" i="4" s="1"/>
  <c r="B123" i="4"/>
  <c r="H123" i="4" s="1"/>
  <c r="I123" i="4" s="1"/>
  <c r="J123" i="4" s="1"/>
  <c r="K123" i="4" s="1"/>
  <c r="E122" i="4"/>
  <c r="F122" i="4" s="1"/>
  <c r="G122" i="4" s="1"/>
  <c r="L121" i="4" l="1"/>
  <c r="M121" i="4" s="1"/>
  <c r="N121" i="4" s="1"/>
  <c r="E123" i="4"/>
  <c r="F123" i="4" s="1"/>
  <c r="G123" i="4" s="1"/>
  <c r="B124" i="4"/>
  <c r="H124" i="4" s="1"/>
  <c r="I124" i="4" s="1"/>
  <c r="J124" i="4" s="1"/>
  <c r="K124" i="4" s="1"/>
  <c r="L122" i="4" l="1"/>
  <c r="M122" i="4" s="1"/>
  <c r="N122" i="4" s="1"/>
  <c r="E124" i="4"/>
  <c r="F124" i="4" s="1"/>
  <c r="G124" i="4" s="1"/>
  <c r="B125" i="4"/>
  <c r="H125" i="4" s="1"/>
  <c r="I125" i="4" s="1"/>
  <c r="J125" i="4" s="1"/>
  <c r="K125" i="4" s="1"/>
  <c r="L123" i="4" l="1"/>
  <c r="M123" i="4" s="1"/>
  <c r="N123" i="4" s="1"/>
  <c r="B126" i="4"/>
  <c r="H126" i="4" s="1"/>
  <c r="I126" i="4" s="1"/>
  <c r="J126" i="4" s="1"/>
  <c r="K126" i="4" s="1"/>
  <c r="E125" i="4"/>
  <c r="F125" i="4" s="1"/>
  <c r="G125" i="4" s="1"/>
  <c r="L124" i="4" l="1"/>
  <c r="M124" i="4" s="1"/>
  <c r="N124" i="4" s="1"/>
  <c r="B127" i="4"/>
  <c r="H127" i="4" s="1"/>
  <c r="I127" i="4" s="1"/>
  <c r="J127" i="4" s="1"/>
  <c r="K127" i="4" s="1"/>
  <c r="E126" i="4"/>
  <c r="F126" i="4" s="1"/>
  <c r="G126" i="4" s="1"/>
  <c r="L125" i="4" l="1"/>
  <c r="M125" i="4" s="1"/>
  <c r="N125" i="4" s="1"/>
  <c r="E127" i="4"/>
  <c r="F127" i="4" s="1"/>
  <c r="G127" i="4" s="1"/>
  <c r="B128" i="4"/>
  <c r="H128" i="4" s="1"/>
  <c r="I128" i="4" s="1"/>
  <c r="J128" i="4" s="1"/>
  <c r="K128" i="4" s="1"/>
  <c r="L126" i="4" l="1"/>
  <c r="M126" i="4" s="1"/>
  <c r="N126" i="4" s="1"/>
  <c r="E128" i="4"/>
  <c r="F128" i="4" s="1"/>
  <c r="G128" i="4" s="1"/>
  <c r="B129" i="4"/>
  <c r="H129" i="4" s="1"/>
  <c r="I129" i="4" s="1"/>
  <c r="J129" i="4" s="1"/>
  <c r="K129" i="4" s="1"/>
  <c r="L127" i="4" l="1"/>
  <c r="M127" i="4" s="1"/>
  <c r="N127" i="4" s="1"/>
  <c r="B130" i="4"/>
  <c r="H130" i="4" s="1"/>
  <c r="I130" i="4" s="1"/>
  <c r="J130" i="4" s="1"/>
  <c r="K130" i="4" s="1"/>
  <c r="E129" i="4"/>
  <c r="F129" i="4" s="1"/>
  <c r="G129" i="4" s="1"/>
  <c r="L128" i="4" l="1"/>
  <c r="M128" i="4" s="1"/>
  <c r="N128" i="4" s="1"/>
  <c r="B131" i="4"/>
  <c r="E130" i="4"/>
  <c r="F130" i="4" s="1"/>
  <c r="G130" i="4" s="1"/>
  <c r="L129" i="4" l="1"/>
  <c r="M129" i="4" s="1"/>
  <c r="N129" i="4" s="1"/>
  <c r="H131" i="4"/>
  <c r="I131" i="4" s="1"/>
  <c r="J131" i="4" s="1"/>
  <c r="K131" i="4" s="1"/>
  <c r="B132" i="4"/>
  <c r="H132" i="4" s="1"/>
  <c r="I132" i="4" s="1"/>
  <c r="J132" i="4" s="1"/>
  <c r="K132" i="4" s="1"/>
  <c r="E131" i="4"/>
  <c r="F131" i="4" s="1"/>
  <c r="G131" i="4" s="1"/>
  <c r="L130" i="4" l="1"/>
  <c r="M130" i="4" s="1"/>
  <c r="N130" i="4" s="1"/>
  <c r="E132" i="4"/>
  <c r="F132" i="4" s="1"/>
  <c r="G132" i="4" s="1"/>
  <c r="B133" i="4"/>
  <c r="H133" i="4" s="1"/>
  <c r="I133" i="4" s="1"/>
  <c r="J133" i="4" s="1"/>
  <c r="K133" i="4" s="1"/>
  <c r="L131" i="4" l="1"/>
  <c r="M131" i="4" s="1"/>
  <c r="N131" i="4" s="1"/>
  <c r="B134" i="4"/>
  <c r="H134" i="4" s="1"/>
  <c r="I134" i="4" s="1"/>
  <c r="J134" i="4" s="1"/>
  <c r="K134" i="4" s="1"/>
  <c r="E133" i="4"/>
  <c r="F133" i="4" s="1"/>
  <c r="G133" i="4" s="1"/>
  <c r="L132" i="4" l="1"/>
  <c r="M132" i="4" s="1"/>
  <c r="N132" i="4" s="1"/>
  <c r="B135" i="4"/>
  <c r="H135" i="4" s="1"/>
  <c r="I135" i="4" s="1"/>
  <c r="J135" i="4" s="1"/>
  <c r="K135" i="4" s="1"/>
  <c r="E134" i="4"/>
  <c r="F134" i="4" s="1"/>
  <c r="G134" i="4" s="1"/>
  <c r="L133" i="4" l="1"/>
  <c r="M133" i="4" s="1"/>
  <c r="N133" i="4" s="1"/>
  <c r="B136" i="4"/>
  <c r="H136" i="4" s="1"/>
  <c r="I136" i="4" s="1"/>
  <c r="J136" i="4" s="1"/>
  <c r="K136" i="4" s="1"/>
  <c r="E135" i="4"/>
  <c r="F135" i="4" s="1"/>
  <c r="G135" i="4" s="1"/>
  <c r="L134" i="4" l="1"/>
  <c r="M134" i="4" s="1"/>
  <c r="N134" i="4" s="1"/>
  <c r="E136" i="4"/>
  <c r="F136" i="4" s="1"/>
  <c r="G136" i="4" s="1"/>
  <c r="B137" i="4"/>
  <c r="H137" i="4" s="1"/>
  <c r="I137" i="4" s="1"/>
  <c r="J137" i="4" s="1"/>
  <c r="K137" i="4" s="1"/>
  <c r="L135" i="4" l="1"/>
  <c r="M135" i="4" s="1"/>
  <c r="N135" i="4" s="1"/>
  <c r="B138" i="4"/>
  <c r="H138" i="4" s="1"/>
  <c r="I138" i="4" s="1"/>
  <c r="J138" i="4" s="1"/>
  <c r="K138" i="4" s="1"/>
  <c r="E137" i="4"/>
  <c r="F137" i="4" s="1"/>
  <c r="G137" i="4" s="1"/>
  <c r="L136" i="4" l="1"/>
  <c r="M136" i="4" s="1"/>
  <c r="N136" i="4" s="1"/>
  <c r="B139" i="4"/>
  <c r="H139" i="4" s="1"/>
  <c r="I139" i="4" s="1"/>
  <c r="J139" i="4" s="1"/>
  <c r="K139" i="4" s="1"/>
  <c r="E138" i="4"/>
  <c r="F138" i="4" s="1"/>
  <c r="G138" i="4" s="1"/>
  <c r="L137" i="4" l="1"/>
  <c r="M137" i="4" s="1"/>
  <c r="N137" i="4" s="1"/>
  <c r="E139" i="4"/>
  <c r="F139" i="4" s="1"/>
  <c r="G139" i="4" s="1"/>
  <c r="B140" i="4"/>
  <c r="H140" i="4" s="1"/>
  <c r="I140" i="4" s="1"/>
  <c r="J140" i="4" s="1"/>
  <c r="K140" i="4" s="1"/>
  <c r="L138" i="4" l="1"/>
  <c r="M138" i="4" s="1"/>
  <c r="N138" i="4" s="1"/>
  <c r="E140" i="4"/>
  <c r="F140" i="4" s="1"/>
  <c r="G140" i="4" s="1"/>
  <c r="B141" i="4"/>
  <c r="H141" i="4" s="1"/>
  <c r="I141" i="4" s="1"/>
  <c r="J141" i="4" s="1"/>
  <c r="K141" i="4" s="1"/>
  <c r="L139" i="4" l="1"/>
  <c r="M139" i="4" s="1"/>
  <c r="N139" i="4" s="1"/>
  <c r="B142" i="4"/>
  <c r="H142" i="4" s="1"/>
  <c r="I142" i="4" s="1"/>
  <c r="J142" i="4" s="1"/>
  <c r="K142" i="4" s="1"/>
  <c r="E141" i="4"/>
  <c r="F141" i="4" s="1"/>
  <c r="G141" i="4" s="1"/>
  <c r="L140" i="4" l="1"/>
  <c r="M140" i="4" s="1"/>
  <c r="N140" i="4" s="1"/>
  <c r="B143" i="4"/>
  <c r="E142" i="4"/>
  <c r="F142" i="4" s="1"/>
  <c r="G142" i="4" s="1"/>
  <c r="L141" i="4" l="1"/>
  <c r="M141" i="4" s="1"/>
  <c r="N141" i="4" s="1"/>
  <c r="H143" i="4"/>
  <c r="I143" i="4" s="1"/>
  <c r="J143" i="4" s="1"/>
  <c r="K143" i="4" s="1"/>
  <c r="B144" i="4"/>
  <c r="H144" i="4" s="1"/>
  <c r="I144" i="4" s="1"/>
  <c r="J144" i="4" s="1"/>
  <c r="K144" i="4" s="1"/>
  <c r="E143" i="4"/>
  <c r="F143" i="4" s="1"/>
  <c r="G143" i="4" s="1"/>
  <c r="L142" i="4" l="1"/>
  <c r="M142" i="4" s="1"/>
  <c r="N142" i="4" s="1"/>
  <c r="B145" i="4"/>
  <c r="H145" i="4" s="1"/>
  <c r="I145" i="4" s="1"/>
  <c r="J145" i="4" s="1"/>
  <c r="K145" i="4" s="1"/>
  <c r="E144" i="4"/>
  <c r="F144" i="4" s="1"/>
  <c r="G144" i="4" s="1"/>
  <c r="L143" i="4" l="1"/>
  <c r="M143" i="4" s="1"/>
  <c r="N143" i="4" s="1"/>
  <c r="B146" i="4"/>
  <c r="H146" i="4" s="1"/>
  <c r="I146" i="4" s="1"/>
  <c r="J146" i="4" s="1"/>
  <c r="K146" i="4" s="1"/>
  <c r="E145" i="4"/>
  <c r="F145" i="4" s="1"/>
  <c r="G145" i="4" s="1"/>
  <c r="L144" i="4" l="1"/>
  <c r="M144" i="4" s="1"/>
  <c r="N144" i="4" s="1"/>
  <c r="E146" i="4"/>
  <c r="F146" i="4" s="1"/>
  <c r="G146" i="4" s="1"/>
  <c r="B147" i="4"/>
  <c r="H147" i="4" s="1"/>
  <c r="I147" i="4" s="1"/>
  <c r="J147" i="4" s="1"/>
  <c r="K147" i="4" s="1"/>
  <c r="L145" i="4" l="1"/>
  <c r="M145" i="4" s="1"/>
  <c r="N145" i="4" s="1"/>
  <c r="E147" i="4"/>
  <c r="F147" i="4" s="1"/>
  <c r="G147" i="4" s="1"/>
  <c r="B148" i="4"/>
  <c r="H148" i="4" s="1"/>
  <c r="I148" i="4" s="1"/>
  <c r="J148" i="4" s="1"/>
  <c r="K148" i="4" s="1"/>
  <c r="L146" i="4" l="1"/>
  <c r="M146" i="4" s="1"/>
  <c r="N146" i="4" s="1"/>
  <c r="B149" i="4"/>
  <c r="H149" i="4" s="1"/>
  <c r="I149" i="4" s="1"/>
  <c r="J149" i="4" s="1"/>
  <c r="K149" i="4" s="1"/>
  <c r="E148" i="4"/>
  <c r="F148" i="4" s="1"/>
  <c r="G148" i="4" s="1"/>
  <c r="L147" i="4" l="1"/>
  <c r="M147" i="4" s="1"/>
  <c r="N147" i="4" s="1"/>
  <c r="B150" i="4"/>
  <c r="H150" i="4" s="1"/>
  <c r="I150" i="4" s="1"/>
  <c r="J150" i="4" s="1"/>
  <c r="K150" i="4" s="1"/>
  <c r="E149" i="4"/>
  <c r="F149" i="4" s="1"/>
  <c r="G149" i="4" s="1"/>
  <c r="L148" i="4" l="1"/>
  <c r="M148" i="4" s="1"/>
  <c r="N148" i="4" s="1"/>
  <c r="B151" i="4"/>
  <c r="H151" i="4" s="1"/>
  <c r="I151" i="4" s="1"/>
  <c r="J151" i="4" s="1"/>
  <c r="K151" i="4" s="1"/>
  <c r="E150" i="4"/>
  <c r="F150" i="4" s="1"/>
  <c r="G150" i="4" s="1"/>
  <c r="L149" i="4" l="1"/>
  <c r="M149" i="4" s="1"/>
  <c r="N149" i="4" s="1"/>
  <c r="E151" i="4"/>
  <c r="F151" i="4" s="1"/>
  <c r="G151" i="4" s="1"/>
  <c r="B152" i="4"/>
  <c r="H152" i="4" s="1"/>
  <c r="I152" i="4" s="1"/>
  <c r="J152" i="4" s="1"/>
  <c r="K152" i="4" s="1"/>
  <c r="L150" i="4" l="1"/>
  <c r="M150" i="4" s="1"/>
  <c r="N150" i="4" s="1"/>
  <c r="E152" i="4"/>
  <c r="F152" i="4" s="1"/>
  <c r="G152" i="4" s="1"/>
  <c r="B153" i="4"/>
  <c r="H153" i="4" s="1"/>
  <c r="I153" i="4" s="1"/>
  <c r="J153" i="4" s="1"/>
  <c r="K153" i="4" s="1"/>
  <c r="L151" i="4" l="1"/>
  <c r="M151" i="4" s="1"/>
  <c r="N151" i="4" s="1"/>
  <c r="E153" i="4"/>
  <c r="F153" i="4" s="1"/>
  <c r="G153" i="4" s="1"/>
  <c r="B154" i="4"/>
  <c r="H154" i="4" s="1"/>
  <c r="I154" i="4" s="1"/>
  <c r="J154" i="4" s="1"/>
  <c r="K154" i="4" s="1"/>
  <c r="L152" i="4" l="1"/>
  <c r="M152" i="4" s="1"/>
  <c r="N152" i="4" s="1"/>
  <c r="B155" i="4"/>
  <c r="E154" i="4"/>
  <c r="F154" i="4" s="1"/>
  <c r="G154" i="4" s="1"/>
  <c r="L153" i="4" l="1"/>
  <c r="M153" i="4" s="1"/>
  <c r="N153" i="4" s="1"/>
  <c r="H155" i="4"/>
  <c r="I155" i="4" s="1"/>
  <c r="J155" i="4" s="1"/>
  <c r="K155" i="4" s="1"/>
  <c r="B156" i="4"/>
  <c r="H156" i="4" s="1"/>
  <c r="I156" i="4" s="1"/>
  <c r="J156" i="4" s="1"/>
  <c r="K156" i="4" s="1"/>
  <c r="E155" i="4"/>
  <c r="F155" i="4" s="1"/>
  <c r="G155" i="4" s="1"/>
  <c r="L154" i="4" l="1"/>
  <c r="M154" i="4" s="1"/>
  <c r="N154" i="4" s="1"/>
  <c r="E156" i="4"/>
  <c r="F156" i="4" s="1"/>
  <c r="G156" i="4" s="1"/>
  <c r="B157" i="4"/>
  <c r="H157" i="4" s="1"/>
  <c r="I157" i="4" s="1"/>
  <c r="J157" i="4" s="1"/>
  <c r="K157" i="4" s="1"/>
  <c r="L155" i="4" l="1"/>
  <c r="M155" i="4" s="1"/>
  <c r="N155" i="4" s="1"/>
  <c r="B158" i="4"/>
  <c r="H158" i="4" s="1"/>
  <c r="I158" i="4" s="1"/>
  <c r="J158" i="4" s="1"/>
  <c r="K158" i="4" s="1"/>
  <c r="E157" i="4"/>
  <c r="F157" i="4" s="1"/>
  <c r="G157" i="4" s="1"/>
  <c r="L156" i="4" l="1"/>
  <c r="M156" i="4" s="1"/>
  <c r="N156" i="4" s="1"/>
  <c r="B159" i="4"/>
  <c r="H159" i="4" s="1"/>
  <c r="I159" i="4" s="1"/>
  <c r="J159" i="4" s="1"/>
  <c r="K159" i="4" s="1"/>
  <c r="E158" i="4"/>
  <c r="F158" i="4" s="1"/>
  <c r="G158" i="4" s="1"/>
  <c r="L157" i="4" l="1"/>
  <c r="M157" i="4" s="1"/>
  <c r="N157" i="4" s="1"/>
  <c r="E159" i="4"/>
  <c r="F159" i="4" s="1"/>
  <c r="G159" i="4" s="1"/>
  <c r="B160" i="4"/>
  <c r="H160" i="4" s="1"/>
  <c r="I160" i="4" s="1"/>
  <c r="J160" i="4" s="1"/>
  <c r="K160" i="4" s="1"/>
  <c r="L158" i="4" l="1"/>
  <c r="M158" i="4" s="1"/>
  <c r="N158" i="4" s="1"/>
  <c r="E160" i="4"/>
  <c r="F160" i="4" s="1"/>
  <c r="G160" i="4" s="1"/>
  <c r="B161" i="4"/>
  <c r="H161" i="4" s="1"/>
  <c r="I161" i="4" s="1"/>
  <c r="J161" i="4" s="1"/>
  <c r="K161" i="4" s="1"/>
  <c r="L159" i="4" l="1"/>
  <c r="M159" i="4" s="1"/>
  <c r="N159" i="4" s="1"/>
  <c r="B162" i="4"/>
  <c r="H162" i="4" s="1"/>
  <c r="I162" i="4" s="1"/>
  <c r="J162" i="4" s="1"/>
  <c r="K162" i="4" s="1"/>
  <c r="E161" i="4"/>
  <c r="F161" i="4" s="1"/>
  <c r="G161" i="4" s="1"/>
  <c r="L160" i="4" l="1"/>
  <c r="M160" i="4" s="1"/>
  <c r="N160" i="4" s="1"/>
  <c r="B163" i="4"/>
  <c r="H163" i="4" s="1"/>
  <c r="I163" i="4" s="1"/>
  <c r="J163" i="4" s="1"/>
  <c r="K163" i="4" s="1"/>
  <c r="E162" i="4"/>
  <c r="F162" i="4" s="1"/>
  <c r="G162" i="4" s="1"/>
  <c r="L161" i="4" l="1"/>
  <c r="M161" i="4" s="1"/>
  <c r="N161" i="4" s="1"/>
  <c r="E163" i="4"/>
  <c r="F163" i="4" s="1"/>
  <c r="G163" i="4" s="1"/>
  <c r="B164" i="4"/>
  <c r="H164" i="4" s="1"/>
  <c r="I164" i="4" s="1"/>
  <c r="J164" i="4" s="1"/>
  <c r="K164" i="4" s="1"/>
  <c r="L162" i="4" l="1"/>
  <c r="M162" i="4" s="1"/>
  <c r="N162" i="4" s="1"/>
  <c r="E164" i="4"/>
  <c r="F164" i="4" s="1"/>
  <c r="G164" i="4" s="1"/>
  <c r="B165" i="4"/>
  <c r="H165" i="4" s="1"/>
  <c r="I165" i="4" s="1"/>
  <c r="J165" i="4" s="1"/>
  <c r="K165" i="4" s="1"/>
  <c r="L163" i="4" l="1"/>
  <c r="M163" i="4" s="1"/>
  <c r="N163" i="4" s="1"/>
  <c r="B166" i="4"/>
  <c r="H166" i="4" s="1"/>
  <c r="I166" i="4" s="1"/>
  <c r="J166" i="4" s="1"/>
  <c r="K166" i="4" s="1"/>
  <c r="E165" i="4"/>
  <c r="F165" i="4" s="1"/>
  <c r="G165" i="4" s="1"/>
  <c r="L164" i="4" l="1"/>
  <c r="M164" i="4" s="1"/>
  <c r="N164" i="4" s="1"/>
  <c r="B167" i="4"/>
  <c r="E166" i="4"/>
  <c r="F166" i="4" s="1"/>
  <c r="G166" i="4" s="1"/>
  <c r="L165" i="4" l="1"/>
  <c r="M165" i="4" s="1"/>
  <c r="N165" i="4" s="1"/>
  <c r="H167" i="4"/>
  <c r="I167" i="4" s="1"/>
  <c r="J167" i="4" s="1"/>
  <c r="K167" i="4" s="1"/>
  <c r="B168" i="4"/>
  <c r="H168" i="4" s="1"/>
  <c r="I168" i="4" s="1"/>
  <c r="J168" i="4" s="1"/>
  <c r="K168" i="4" s="1"/>
  <c r="E167" i="4"/>
  <c r="F167" i="4" s="1"/>
  <c r="G167" i="4" s="1"/>
  <c r="L166" i="4" l="1"/>
  <c r="M166" i="4" s="1"/>
  <c r="N166" i="4" s="1"/>
  <c r="E168" i="4"/>
  <c r="F168" i="4" s="1"/>
  <c r="G168" i="4" s="1"/>
  <c r="B169" i="4"/>
  <c r="H169" i="4" s="1"/>
  <c r="I169" i="4" s="1"/>
  <c r="J169" i="4" s="1"/>
  <c r="K169" i="4" s="1"/>
  <c r="L167" i="4" l="1"/>
  <c r="M167" i="4" s="1"/>
  <c r="N167" i="4" s="1"/>
  <c r="B170" i="4"/>
  <c r="H170" i="4" s="1"/>
  <c r="I170" i="4" s="1"/>
  <c r="J170" i="4" s="1"/>
  <c r="K170" i="4" s="1"/>
  <c r="E169" i="4"/>
  <c r="F169" i="4" s="1"/>
  <c r="G169" i="4" s="1"/>
  <c r="L168" i="4" l="1"/>
  <c r="M168" i="4" s="1"/>
  <c r="N168" i="4" s="1"/>
  <c r="B171" i="4"/>
  <c r="H171" i="4" s="1"/>
  <c r="I171" i="4" s="1"/>
  <c r="J171" i="4" s="1"/>
  <c r="K171" i="4" s="1"/>
  <c r="E170" i="4"/>
  <c r="F170" i="4" s="1"/>
  <c r="G170" i="4" s="1"/>
  <c r="L169" i="4" l="1"/>
  <c r="M169" i="4" s="1"/>
  <c r="N169" i="4" s="1"/>
  <c r="E171" i="4"/>
  <c r="F171" i="4" s="1"/>
  <c r="G171" i="4" s="1"/>
  <c r="B172" i="4"/>
  <c r="H172" i="4" s="1"/>
  <c r="I172" i="4" s="1"/>
  <c r="J172" i="4" s="1"/>
  <c r="K172" i="4" s="1"/>
  <c r="L170" i="4" l="1"/>
  <c r="M170" i="4" s="1"/>
  <c r="N170" i="4" s="1"/>
  <c r="E172" i="4"/>
  <c r="F172" i="4" s="1"/>
  <c r="G172" i="4" s="1"/>
  <c r="B173" i="4"/>
  <c r="H173" i="4" s="1"/>
  <c r="I173" i="4" s="1"/>
  <c r="J173" i="4" s="1"/>
  <c r="K173" i="4" s="1"/>
  <c r="L171" i="4" l="1"/>
  <c r="M171" i="4" s="1"/>
  <c r="N171" i="4" s="1"/>
  <c r="B174" i="4"/>
  <c r="H174" i="4" s="1"/>
  <c r="I174" i="4" s="1"/>
  <c r="J174" i="4" s="1"/>
  <c r="K174" i="4" s="1"/>
  <c r="E173" i="4"/>
  <c r="F173" i="4" s="1"/>
  <c r="G173" i="4" s="1"/>
  <c r="L172" i="4" l="1"/>
  <c r="M172" i="4" s="1"/>
  <c r="N172" i="4" s="1"/>
  <c r="B175" i="4"/>
  <c r="H175" i="4" s="1"/>
  <c r="I175" i="4" s="1"/>
  <c r="J175" i="4" s="1"/>
  <c r="K175" i="4" s="1"/>
  <c r="E174" i="4"/>
  <c r="F174" i="4" s="1"/>
  <c r="G174" i="4" s="1"/>
  <c r="L173" i="4" l="1"/>
  <c r="M173" i="4" s="1"/>
  <c r="N173" i="4" s="1"/>
  <c r="E175" i="4"/>
  <c r="F175" i="4" s="1"/>
  <c r="G175" i="4" s="1"/>
  <c r="B176" i="4"/>
  <c r="H176" i="4" s="1"/>
  <c r="I176" i="4" s="1"/>
  <c r="J176" i="4" s="1"/>
  <c r="K176" i="4" s="1"/>
  <c r="L174" i="4" l="1"/>
  <c r="M174" i="4" s="1"/>
  <c r="N174" i="4" s="1"/>
  <c r="E176" i="4"/>
  <c r="F176" i="4" s="1"/>
  <c r="G176" i="4" s="1"/>
  <c r="B177" i="4"/>
  <c r="H177" i="4" s="1"/>
  <c r="I177" i="4" s="1"/>
  <c r="J177" i="4" s="1"/>
  <c r="K177" i="4" s="1"/>
  <c r="L175" i="4" l="1"/>
  <c r="M175" i="4" s="1"/>
  <c r="N175" i="4" s="1"/>
  <c r="B178" i="4"/>
  <c r="H178" i="4" s="1"/>
  <c r="I178" i="4" s="1"/>
  <c r="J178" i="4" s="1"/>
  <c r="K178" i="4" s="1"/>
  <c r="E177" i="4"/>
  <c r="F177" i="4" s="1"/>
  <c r="G177" i="4" s="1"/>
  <c r="L176" i="4" l="1"/>
  <c r="M176" i="4" s="1"/>
  <c r="N176" i="4" s="1"/>
  <c r="B179" i="4"/>
  <c r="E178" i="4"/>
  <c r="F178" i="4" s="1"/>
  <c r="G178" i="4" s="1"/>
  <c r="L177" i="4" l="1"/>
  <c r="M177" i="4" s="1"/>
  <c r="N177" i="4" s="1"/>
  <c r="H179" i="4"/>
  <c r="I179" i="4" s="1"/>
  <c r="J179" i="4" s="1"/>
  <c r="K179" i="4" s="1"/>
  <c r="B180" i="4"/>
  <c r="H180" i="4" s="1"/>
  <c r="I180" i="4" s="1"/>
  <c r="J180" i="4" s="1"/>
  <c r="K180" i="4" s="1"/>
  <c r="E179" i="4"/>
  <c r="F179" i="4" s="1"/>
  <c r="G179" i="4" s="1"/>
  <c r="L178" i="4" l="1"/>
  <c r="M178" i="4" s="1"/>
  <c r="N178" i="4" s="1"/>
  <c r="E180" i="4"/>
  <c r="F180" i="4" s="1"/>
  <c r="G180" i="4" s="1"/>
  <c r="B181" i="4"/>
  <c r="H181" i="4" s="1"/>
  <c r="I181" i="4" s="1"/>
  <c r="J181" i="4" s="1"/>
  <c r="K181" i="4" s="1"/>
  <c r="L179" i="4" l="1"/>
  <c r="M179" i="4" s="1"/>
  <c r="N179" i="4" s="1"/>
  <c r="B182" i="4"/>
  <c r="H182" i="4" s="1"/>
  <c r="I182" i="4" s="1"/>
  <c r="J182" i="4" s="1"/>
  <c r="K182" i="4" s="1"/>
  <c r="E181" i="4"/>
  <c r="F181" i="4" s="1"/>
  <c r="G181" i="4" s="1"/>
  <c r="L180" i="4" l="1"/>
  <c r="M180" i="4" s="1"/>
  <c r="N180" i="4" s="1"/>
  <c r="E182" i="4"/>
  <c r="F182" i="4" s="1"/>
  <c r="G182" i="4" s="1"/>
  <c r="B183" i="4"/>
  <c r="H183" i="4" s="1"/>
  <c r="I183" i="4" s="1"/>
  <c r="J183" i="4" s="1"/>
  <c r="K183" i="4" s="1"/>
  <c r="L181" i="4" l="1"/>
  <c r="M181" i="4" s="1"/>
  <c r="N181" i="4" s="1"/>
  <c r="E183" i="4"/>
  <c r="F183" i="4" s="1"/>
  <c r="G183" i="4" s="1"/>
  <c r="B184" i="4"/>
  <c r="H184" i="4" s="1"/>
  <c r="I184" i="4" s="1"/>
  <c r="J184" i="4" s="1"/>
  <c r="K184" i="4" s="1"/>
  <c r="L182" i="4" l="1"/>
  <c r="M182" i="4" s="1"/>
  <c r="N182" i="4" s="1"/>
  <c r="E184" i="4"/>
  <c r="F184" i="4" s="1"/>
  <c r="G184" i="4" s="1"/>
  <c r="B185" i="4"/>
  <c r="H185" i="4" s="1"/>
  <c r="I185" i="4" s="1"/>
  <c r="J185" i="4" s="1"/>
  <c r="K185" i="4" s="1"/>
  <c r="L183" i="4" l="1"/>
  <c r="M183" i="4" s="1"/>
  <c r="N183" i="4" s="1"/>
  <c r="B186" i="4"/>
  <c r="H186" i="4" s="1"/>
  <c r="I186" i="4" s="1"/>
  <c r="J186" i="4" s="1"/>
  <c r="K186" i="4" s="1"/>
  <c r="E185" i="4"/>
  <c r="F185" i="4" s="1"/>
  <c r="G185" i="4" s="1"/>
  <c r="L184" i="4" l="1"/>
  <c r="M184" i="4" s="1"/>
  <c r="N184" i="4" s="1"/>
  <c r="B187" i="4"/>
  <c r="H187" i="4" s="1"/>
  <c r="I187" i="4" s="1"/>
  <c r="J187" i="4" s="1"/>
  <c r="K187" i="4" s="1"/>
  <c r="E186" i="4"/>
  <c r="F186" i="4" s="1"/>
  <c r="G186" i="4" s="1"/>
  <c r="L185" i="4" l="1"/>
  <c r="M185" i="4" s="1"/>
  <c r="N185" i="4" s="1"/>
  <c r="E187" i="4"/>
  <c r="F187" i="4" s="1"/>
  <c r="G187" i="4" s="1"/>
  <c r="B188" i="4"/>
  <c r="H188" i="4" s="1"/>
  <c r="I188" i="4" s="1"/>
  <c r="J188" i="4" s="1"/>
  <c r="K188" i="4" s="1"/>
  <c r="L186" i="4" l="1"/>
  <c r="M186" i="4" s="1"/>
  <c r="N186" i="4" s="1"/>
  <c r="E188" i="4"/>
  <c r="F188" i="4" s="1"/>
  <c r="G188" i="4" s="1"/>
  <c r="B189" i="4"/>
  <c r="H189" i="4" s="1"/>
  <c r="I189" i="4" s="1"/>
  <c r="J189" i="4" s="1"/>
  <c r="K189" i="4" s="1"/>
  <c r="L187" i="4" l="1"/>
  <c r="M187" i="4" s="1"/>
  <c r="N187" i="4" s="1"/>
  <c r="B190" i="4"/>
  <c r="H190" i="4" s="1"/>
  <c r="I190" i="4" s="1"/>
  <c r="J190" i="4" s="1"/>
  <c r="K190" i="4" s="1"/>
  <c r="E189" i="4"/>
  <c r="F189" i="4" s="1"/>
  <c r="G189" i="4" s="1"/>
  <c r="L188" i="4" l="1"/>
  <c r="M188" i="4" s="1"/>
  <c r="N188" i="4" s="1"/>
  <c r="B191" i="4"/>
  <c r="E190" i="4"/>
  <c r="F190" i="4" s="1"/>
  <c r="G190" i="4" s="1"/>
  <c r="L189" i="4" l="1"/>
  <c r="M189" i="4" s="1"/>
  <c r="N189" i="4" s="1"/>
  <c r="H191" i="4"/>
  <c r="I191" i="4" s="1"/>
  <c r="J191" i="4" s="1"/>
  <c r="K191" i="4" s="1"/>
  <c r="B192" i="4"/>
  <c r="H192" i="4" s="1"/>
  <c r="I192" i="4" s="1"/>
  <c r="J192" i="4" s="1"/>
  <c r="K192" i="4" s="1"/>
  <c r="E191" i="4"/>
  <c r="F191" i="4" s="1"/>
  <c r="G191" i="4" s="1"/>
  <c r="L190" i="4" l="1"/>
  <c r="M190" i="4" s="1"/>
  <c r="N190" i="4" s="1"/>
  <c r="E192" i="4"/>
  <c r="F192" i="4" s="1"/>
  <c r="G192" i="4" s="1"/>
  <c r="B193" i="4"/>
  <c r="H193" i="4" s="1"/>
  <c r="I193" i="4" s="1"/>
  <c r="J193" i="4" s="1"/>
  <c r="K193" i="4" s="1"/>
  <c r="L191" i="4" l="1"/>
  <c r="M191" i="4" s="1"/>
  <c r="N191" i="4" s="1"/>
  <c r="B194" i="4"/>
  <c r="H194" i="4" s="1"/>
  <c r="I194" i="4" s="1"/>
  <c r="J194" i="4" s="1"/>
  <c r="K194" i="4" s="1"/>
  <c r="E193" i="4"/>
  <c r="F193" i="4" s="1"/>
  <c r="G193" i="4" s="1"/>
  <c r="L192" i="4" l="1"/>
  <c r="M192" i="4" s="1"/>
  <c r="N192" i="4" s="1"/>
  <c r="B195" i="4"/>
  <c r="H195" i="4" s="1"/>
  <c r="I195" i="4" s="1"/>
  <c r="J195" i="4" s="1"/>
  <c r="K195" i="4" s="1"/>
  <c r="E194" i="4"/>
  <c r="F194" i="4" s="1"/>
  <c r="G194" i="4" s="1"/>
  <c r="L193" i="4" l="1"/>
  <c r="M193" i="4" s="1"/>
  <c r="N193" i="4" s="1"/>
  <c r="E195" i="4"/>
  <c r="F195" i="4" s="1"/>
  <c r="G195" i="4" s="1"/>
  <c r="B196" i="4"/>
  <c r="H196" i="4" s="1"/>
  <c r="I196" i="4" s="1"/>
  <c r="J196" i="4" s="1"/>
  <c r="K196" i="4" s="1"/>
  <c r="L194" i="4" l="1"/>
  <c r="M194" i="4" s="1"/>
  <c r="N194" i="4" s="1"/>
  <c r="E196" i="4"/>
  <c r="F196" i="4" s="1"/>
  <c r="G196" i="4" s="1"/>
  <c r="B197" i="4"/>
  <c r="H197" i="4" s="1"/>
  <c r="I197" i="4" s="1"/>
  <c r="J197" i="4" s="1"/>
  <c r="K197" i="4" s="1"/>
  <c r="L195" i="4" l="1"/>
  <c r="M195" i="4" s="1"/>
  <c r="N195" i="4" s="1"/>
  <c r="E197" i="4"/>
  <c r="F197" i="4" s="1"/>
  <c r="G197" i="4" s="1"/>
  <c r="B198" i="4"/>
  <c r="H198" i="4" s="1"/>
  <c r="I198" i="4" s="1"/>
  <c r="J198" i="4" s="1"/>
  <c r="K198" i="4" s="1"/>
  <c r="L196" i="4" l="1"/>
  <c r="M196" i="4" s="1"/>
  <c r="N196" i="4" s="1"/>
  <c r="B199" i="4"/>
  <c r="H199" i="4" s="1"/>
  <c r="I199" i="4" s="1"/>
  <c r="J199" i="4" s="1"/>
  <c r="K199" i="4" s="1"/>
  <c r="E198" i="4"/>
  <c r="F198" i="4" s="1"/>
  <c r="G198" i="4" s="1"/>
  <c r="L197" i="4" l="1"/>
  <c r="M197" i="4" s="1"/>
  <c r="N197" i="4" s="1"/>
  <c r="E199" i="4"/>
  <c r="F199" i="4" s="1"/>
  <c r="G199" i="4" s="1"/>
  <c r="B200" i="4"/>
  <c r="H200" i="4" s="1"/>
  <c r="I200" i="4" s="1"/>
  <c r="J200" i="4" s="1"/>
  <c r="K200" i="4" s="1"/>
  <c r="L198" i="4" l="1"/>
  <c r="M198" i="4" s="1"/>
  <c r="N198" i="4" s="1"/>
  <c r="E200" i="4"/>
  <c r="F200" i="4" s="1"/>
  <c r="G200" i="4" s="1"/>
  <c r="B201" i="4"/>
  <c r="H201" i="4" s="1"/>
  <c r="I201" i="4" s="1"/>
  <c r="J201" i="4" s="1"/>
  <c r="K201" i="4" s="1"/>
  <c r="L199" i="4" l="1"/>
  <c r="M199" i="4" s="1"/>
  <c r="N199" i="4" s="1"/>
  <c r="E201" i="4"/>
  <c r="F201" i="4" s="1"/>
  <c r="G201" i="4" s="1"/>
  <c r="B202" i="4"/>
  <c r="H202" i="4" s="1"/>
  <c r="I202" i="4" s="1"/>
  <c r="J202" i="4" s="1"/>
  <c r="K202" i="4" s="1"/>
  <c r="L200" i="4" l="1"/>
  <c r="M200" i="4" s="1"/>
  <c r="N200" i="4" s="1"/>
  <c r="B203" i="4"/>
  <c r="E202" i="4"/>
  <c r="F202" i="4" s="1"/>
  <c r="G202" i="4" s="1"/>
  <c r="L201" i="4" l="1"/>
  <c r="M201" i="4" s="1"/>
  <c r="N201" i="4" s="1"/>
  <c r="H203" i="4"/>
  <c r="I203" i="4" s="1"/>
  <c r="J203" i="4" s="1"/>
  <c r="K203" i="4" s="1"/>
  <c r="B204" i="4"/>
  <c r="H204" i="4" s="1"/>
  <c r="I204" i="4" s="1"/>
  <c r="J204" i="4" s="1"/>
  <c r="K204" i="4" s="1"/>
  <c r="E203" i="4"/>
  <c r="F203" i="4" s="1"/>
  <c r="G203" i="4" s="1"/>
  <c r="L202" i="4" l="1"/>
  <c r="M202" i="4" s="1"/>
  <c r="N202" i="4" s="1"/>
  <c r="E204" i="4"/>
  <c r="F204" i="4" s="1"/>
  <c r="G204" i="4" s="1"/>
  <c r="B205" i="4"/>
  <c r="H205" i="4" s="1"/>
  <c r="I205" i="4" s="1"/>
  <c r="J205" i="4" s="1"/>
  <c r="K205" i="4" s="1"/>
  <c r="L203" i="4" l="1"/>
  <c r="M203" i="4" s="1"/>
  <c r="N203" i="4" s="1"/>
  <c r="B206" i="4"/>
  <c r="H206" i="4" s="1"/>
  <c r="I206" i="4" s="1"/>
  <c r="J206" i="4" s="1"/>
  <c r="K206" i="4" s="1"/>
  <c r="E205" i="4"/>
  <c r="F205" i="4" s="1"/>
  <c r="G205" i="4" s="1"/>
  <c r="L204" i="4" l="1"/>
  <c r="M204" i="4" s="1"/>
  <c r="N204" i="4" s="1"/>
  <c r="B207" i="4"/>
  <c r="H207" i="4" s="1"/>
  <c r="I207" i="4" s="1"/>
  <c r="J207" i="4" s="1"/>
  <c r="K207" i="4" s="1"/>
  <c r="E206" i="4"/>
  <c r="F206" i="4" s="1"/>
  <c r="G206" i="4" s="1"/>
  <c r="L205" i="4" l="1"/>
  <c r="M205" i="4" s="1"/>
  <c r="N205" i="4" s="1"/>
  <c r="E207" i="4"/>
  <c r="F207" i="4" s="1"/>
  <c r="G207" i="4" s="1"/>
  <c r="B208" i="4"/>
  <c r="H208" i="4" s="1"/>
  <c r="I208" i="4" s="1"/>
  <c r="J208" i="4" s="1"/>
  <c r="K208" i="4" s="1"/>
  <c r="L206" i="4" l="1"/>
  <c r="M206" i="4" s="1"/>
  <c r="N206" i="4" s="1"/>
  <c r="E208" i="4"/>
  <c r="F208" i="4" s="1"/>
  <c r="G208" i="4" s="1"/>
  <c r="B209" i="4"/>
  <c r="H209" i="4" s="1"/>
  <c r="I209" i="4" s="1"/>
  <c r="J209" i="4" s="1"/>
  <c r="K209" i="4" s="1"/>
  <c r="L207" i="4" l="1"/>
  <c r="M207" i="4" s="1"/>
  <c r="N207" i="4" s="1"/>
  <c r="B210" i="4"/>
  <c r="H210" i="4" s="1"/>
  <c r="I210" i="4" s="1"/>
  <c r="J210" i="4" s="1"/>
  <c r="K210" i="4" s="1"/>
  <c r="E209" i="4"/>
  <c r="F209" i="4" s="1"/>
  <c r="G209" i="4" s="1"/>
  <c r="L208" i="4" l="1"/>
  <c r="M208" i="4" s="1"/>
  <c r="N208" i="4" s="1"/>
  <c r="B211" i="4"/>
  <c r="H211" i="4" s="1"/>
  <c r="I211" i="4" s="1"/>
  <c r="J211" i="4" s="1"/>
  <c r="K211" i="4" s="1"/>
  <c r="E210" i="4"/>
  <c r="F210" i="4" s="1"/>
  <c r="G210" i="4" s="1"/>
  <c r="L209" i="4" l="1"/>
  <c r="M209" i="4" s="1"/>
  <c r="N209" i="4" s="1"/>
  <c r="E211" i="4"/>
  <c r="F211" i="4" s="1"/>
  <c r="G211" i="4" s="1"/>
  <c r="B212" i="4"/>
  <c r="H212" i="4" s="1"/>
  <c r="I212" i="4" s="1"/>
  <c r="J212" i="4" s="1"/>
  <c r="K212" i="4" s="1"/>
  <c r="L210" i="4" l="1"/>
  <c r="M210" i="4" s="1"/>
  <c r="N210" i="4" s="1"/>
  <c r="E212" i="4"/>
  <c r="F212" i="4" s="1"/>
  <c r="G212" i="4" s="1"/>
  <c r="B213" i="4"/>
  <c r="H213" i="4" s="1"/>
  <c r="I213" i="4" s="1"/>
  <c r="J213" i="4" s="1"/>
  <c r="K213" i="4" s="1"/>
  <c r="L211" i="4" l="1"/>
  <c r="M211" i="4" s="1"/>
  <c r="N211" i="4" s="1"/>
  <c r="B214" i="4"/>
  <c r="H214" i="4" s="1"/>
  <c r="I214" i="4" s="1"/>
  <c r="J214" i="4" s="1"/>
  <c r="K214" i="4" s="1"/>
  <c r="E213" i="4"/>
  <c r="F213" i="4" s="1"/>
  <c r="G213" i="4" s="1"/>
  <c r="L212" i="4" l="1"/>
  <c r="M212" i="4" s="1"/>
  <c r="N212" i="4" s="1"/>
  <c r="B215" i="4"/>
  <c r="E214" i="4"/>
  <c r="F214" i="4" s="1"/>
  <c r="G214" i="4" s="1"/>
  <c r="L213" i="4" l="1"/>
  <c r="M213" i="4" s="1"/>
  <c r="N213" i="4" s="1"/>
  <c r="H215" i="4"/>
  <c r="I215" i="4" s="1"/>
  <c r="J215" i="4" s="1"/>
  <c r="K215" i="4" s="1"/>
  <c r="B216" i="4"/>
  <c r="H216" i="4" s="1"/>
  <c r="I216" i="4" s="1"/>
  <c r="J216" i="4" s="1"/>
  <c r="K216" i="4" s="1"/>
  <c r="E215" i="4"/>
  <c r="F215" i="4" s="1"/>
  <c r="G215" i="4" s="1"/>
  <c r="L214" i="4" l="1"/>
  <c r="M214" i="4" s="1"/>
  <c r="N214" i="4" s="1"/>
  <c r="E216" i="4"/>
  <c r="F216" i="4" s="1"/>
  <c r="G216" i="4" s="1"/>
  <c r="B217" i="4"/>
  <c r="H217" i="4" s="1"/>
  <c r="I217" i="4" s="1"/>
  <c r="J217" i="4" s="1"/>
  <c r="K217" i="4" s="1"/>
  <c r="L215" i="4" l="1"/>
  <c r="M215" i="4" s="1"/>
  <c r="N215" i="4" s="1"/>
  <c r="B218" i="4"/>
  <c r="H218" i="4" s="1"/>
  <c r="I218" i="4" s="1"/>
  <c r="J218" i="4" s="1"/>
  <c r="K218" i="4" s="1"/>
  <c r="E217" i="4"/>
  <c r="F217" i="4" s="1"/>
  <c r="G217" i="4" s="1"/>
  <c r="L216" i="4" l="1"/>
  <c r="M216" i="4" s="1"/>
  <c r="N216" i="4" s="1"/>
  <c r="B219" i="4"/>
  <c r="H219" i="4" s="1"/>
  <c r="I219" i="4" s="1"/>
  <c r="J219" i="4" s="1"/>
  <c r="K219" i="4" s="1"/>
  <c r="E218" i="4"/>
  <c r="F218" i="4" s="1"/>
  <c r="G218" i="4" s="1"/>
  <c r="L217" i="4" l="1"/>
  <c r="M217" i="4" s="1"/>
  <c r="N217" i="4" s="1"/>
  <c r="E219" i="4"/>
  <c r="F219" i="4" s="1"/>
  <c r="G219" i="4" s="1"/>
  <c r="B220" i="4"/>
  <c r="H220" i="4" s="1"/>
  <c r="I220" i="4" s="1"/>
  <c r="J220" i="4" s="1"/>
  <c r="K220" i="4" s="1"/>
  <c r="L218" i="4" l="1"/>
  <c r="M218" i="4" s="1"/>
  <c r="N218" i="4" s="1"/>
  <c r="E220" i="4"/>
  <c r="F220" i="4" s="1"/>
  <c r="G220" i="4" s="1"/>
  <c r="B221" i="4"/>
  <c r="H221" i="4" s="1"/>
  <c r="I221" i="4" s="1"/>
  <c r="J221" i="4" s="1"/>
  <c r="K221" i="4" s="1"/>
  <c r="L219" i="4" l="1"/>
  <c r="M219" i="4" s="1"/>
  <c r="N219" i="4" s="1"/>
  <c r="B222" i="4"/>
  <c r="H222" i="4" s="1"/>
  <c r="I222" i="4" s="1"/>
  <c r="J222" i="4" s="1"/>
  <c r="K222" i="4" s="1"/>
  <c r="E221" i="4"/>
  <c r="F221" i="4" s="1"/>
  <c r="G221" i="4" s="1"/>
  <c r="L220" i="4" l="1"/>
  <c r="M220" i="4" s="1"/>
  <c r="N220" i="4" s="1"/>
  <c r="B223" i="4"/>
  <c r="H223" i="4" s="1"/>
  <c r="I223" i="4" s="1"/>
  <c r="J223" i="4" s="1"/>
  <c r="K223" i="4" s="1"/>
  <c r="E222" i="4"/>
  <c r="F222" i="4" s="1"/>
  <c r="G222" i="4" s="1"/>
  <c r="L221" i="4" l="1"/>
  <c r="M221" i="4" s="1"/>
  <c r="N221" i="4" s="1"/>
  <c r="E223" i="4"/>
  <c r="F223" i="4" s="1"/>
  <c r="G223" i="4" s="1"/>
  <c r="B224" i="4"/>
  <c r="H224" i="4" s="1"/>
  <c r="I224" i="4" s="1"/>
  <c r="J224" i="4" s="1"/>
  <c r="K224" i="4" s="1"/>
  <c r="L222" i="4" l="1"/>
  <c r="M222" i="4" s="1"/>
  <c r="N222" i="4" s="1"/>
  <c r="E224" i="4"/>
  <c r="F224" i="4" s="1"/>
  <c r="G224" i="4" s="1"/>
  <c r="B225" i="4"/>
  <c r="H225" i="4" s="1"/>
  <c r="I225" i="4" s="1"/>
  <c r="J225" i="4" s="1"/>
  <c r="K225" i="4" s="1"/>
  <c r="L223" i="4" l="1"/>
  <c r="M223" i="4" s="1"/>
  <c r="N223" i="4" s="1"/>
  <c r="E225" i="4"/>
  <c r="F225" i="4" s="1"/>
  <c r="G225" i="4" s="1"/>
  <c r="B226" i="4"/>
  <c r="H226" i="4" s="1"/>
  <c r="I226" i="4" s="1"/>
  <c r="J226" i="4" s="1"/>
  <c r="K226" i="4" s="1"/>
  <c r="L224" i="4" l="1"/>
  <c r="M224" i="4" s="1"/>
  <c r="N224" i="4" s="1"/>
  <c r="B227" i="4"/>
  <c r="E226" i="4"/>
  <c r="F226" i="4" s="1"/>
  <c r="G226" i="4" s="1"/>
  <c r="L225" i="4" l="1"/>
  <c r="M225" i="4" s="1"/>
  <c r="N225" i="4" s="1"/>
  <c r="H227" i="4"/>
  <c r="I227" i="4" s="1"/>
  <c r="J227" i="4" s="1"/>
  <c r="K227" i="4" s="1"/>
  <c r="B228" i="4"/>
  <c r="H228" i="4" s="1"/>
  <c r="I228" i="4" s="1"/>
  <c r="J228" i="4" s="1"/>
  <c r="K228" i="4" s="1"/>
  <c r="E227" i="4"/>
  <c r="F227" i="4" s="1"/>
  <c r="G227" i="4" s="1"/>
  <c r="L226" i="4" l="1"/>
  <c r="M226" i="4" s="1"/>
  <c r="N226" i="4" s="1"/>
  <c r="E228" i="4"/>
  <c r="F228" i="4" s="1"/>
  <c r="G228" i="4" s="1"/>
  <c r="B229" i="4"/>
  <c r="H229" i="4" s="1"/>
  <c r="I229" i="4" s="1"/>
  <c r="J229" i="4" s="1"/>
  <c r="K229" i="4" s="1"/>
  <c r="L227" i="4" l="1"/>
  <c r="M227" i="4" s="1"/>
  <c r="N227" i="4" s="1"/>
  <c r="B230" i="4"/>
  <c r="H230" i="4" s="1"/>
  <c r="I230" i="4" s="1"/>
  <c r="J230" i="4" s="1"/>
  <c r="K230" i="4" s="1"/>
  <c r="E229" i="4"/>
  <c r="F229" i="4" s="1"/>
  <c r="G229" i="4" s="1"/>
  <c r="L228" i="4" l="1"/>
  <c r="M228" i="4" s="1"/>
  <c r="N228" i="4" s="1"/>
  <c r="B231" i="4"/>
  <c r="E230" i="4"/>
  <c r="F230" i="4" s="1"/>
  <c r="G230" i="4" s="1"/>
  <c r="L229" i="4" l="1"/>
  <c r="M229" i="4" s="1"/>
  <c r="N229" i="4" s="1"/>
  <c r="E231" i="4"/>
  <c r="F231" i="4" s="1"/>
  <c r="G231" i="4" s="1"/>
  <c r="H231" i="4"/>
  <c r="I231" i="4" s="1"/>
  <c r="J231" i="4" s="1"/>
  <c r="K231" i="4" s="1"/>
  <c r="L230" i="4" l="1"/>
  <c r="M230" i="4" s="1"/>
  <c r="N230" i="4" s="1"/>
  <c r="L231" i="4" l="1"/>
  <c r="M231" i="4" s="1"/>
  <c r="N231" i="4" s="1"/>
</calcChain>
</file>

<file path=xl/sharedStrings.xml><?xml version="1.0" encoding="utf-8"?>
<sst xmlns="http://schemas.openxmlformats.org/spreadsheetml/2006/main" count="252" uniqueCount="247">
  <si>
    <t>Valor do Crédito</t>
  </si>
  <si>
    <t>Parcela Original</t>
  </si>
  <si>
    <t>ROI</t>
  </si>
  <si>
    <t>taxa adm</t>
  </si>
  <si>
    <t>Prazo (meses)</t>
  </si>
  <si>
    <t>Correção INCC</t>
  </si>
  <si>
    <t>Parcela Liberada</t>
  </si>
  <si>
    <t>TOTAL INVESTIDO</t>
  </si>
  <si>
    <t>LUCRO BRUTO</t>
  </si>
  <si>
    <t>LUCRO LÍQUIDO</t>
  </si>
  <si>
    <t>VALOR PARCELA</t>
  </si>
  <si>
    <t>MÊS DA CONTEMPLAÇÃO</t>
  </si>
  <si>
    <t>CRÉDITO</t>
  </si>
  <si>
    <t>Recompra</t>
  </si>
  <si>
    <t>Administradora</t>
  </si>
  <si>
    <t>CRÉDITO
LANCE EMBUTIDO</t>
  </si>
  <si>
    <t>Lance embutido</t>
  </si>
  <si>
    <t>parcela reduzida</t>
  </si>
  <si>
    <t>crédito reduzido + TX adm</t>
  </si>
  <si>
    <t>Configurações de cálculo</t>
  </si>
  <si>
    <t>1º mês</t>
  </si>
  <si>
    <t>2º mês</t>
  </si>
  <si>
    <t>3º mês</t>
  </si>
  <si>
    <t>4º mês</t>
  </si>
  <si>
    <t>5º mês</t>
  </si>
  <si>
    <t>6º mês</t>
  </si>
  <si>
    <t>7º mês</t>
  </si>
  <si>
    <t>8º mês</t>
  </si>
  <si>
    <t>9º mês</t>
  </si>
  <si>
    <t>10º mês</t>
  </si>
  <si>
    <t>11º mês</t>
  </si>
  <si>
    <t>12º mês</t>
  </si>
  <si>
    <t>13º mês</t>
  </si>
  <si>
    <t>14º mês</t>
  </si>
  <si>
    <t>15º mês</t>
  </si>
  <si>
    <t>16º mês</t>
  </si>
  <si>
    <t>17º mês</t>
  </si>
  <si>
    <t>18º mês</t>
  </si>
  <si>
    <t>19º mês</t>
  </si>
  <si>
    <t>20º mês</t>
  </si>
  <si>
    <t>21º mês</t>
  </si>
  <si>
    <t>22º mês</t>
  </si>
  <si>
    <t>23º mês</t>
  </si>
  <si>
    <t>24º mês</t>
  </si>
  <si>
    <t>25º mês</t>
  </si>
  <si>
    <t>26º mês</t>
  </si>
  <si>
    <t>27º mês</t>
  </si>
  <si>
    <t>28º mês</t>
  </si>
  <si>
    <t>29º mês</t>
  </si>
  <si>
    <t>30º mês</t>
  </si>
  <si>
    <t>31º mês</t>
  </si>
  <si>
    <t>32º mês</t>
  </si>
  <si>
    <t>33º mês</t>
  </si>
  <si>
    <t>34º mês</t>
  </si>
  <si>
    <t>35º mês</t>
  </si>
  <si>
    <t>36º mês</t>
  </si>
  <si>
    <t>37º mês</t>
  </si>
  <si>
    <t>38º mês</t>
  </si>
  <si>
    <t>39º mês</t>
  </si>
  <si>
    <t>40º mês</t>
  </si>
  <si>
    <t>41º mês</t>
  </si>
  <si>
    <t>42º mês</t>
  </si>
  <si>
    <t>43º mês</t>
  </si>
  <si>
    <t>44º mês</t>
  </si>
  <si>
    <t>45º mês</t>
  </si>
  <si>
    <t>46º mês</t>
  </si>
  <si>
    <t>47º mês</t>
  </si>
  <si>
    <t>48º mês</t>
  </si>
  <si>
    <t>49º mês</t>
  </si>
  <si>
    <t>50º mês</t>
  </si>
  <si>
    <t>51º mês</t>
  </si>
  <si>
    <t>52º mês</t>
  </si>
  <si>
    <t>53º mês</t>
  </si>
  <si>
    <t>54º mês</t>
  </si>
  <si>
    <t>55º mês</t>
  </si>
  <si>
    <t>56º mês</t>
  </si>
  <si>
    <t>57º mês</t>
  </si>
  <si>
    <t>58º mês</t>
  </si>
  <si>
    <t>59º mês</t>
  </si>
  <si>
    <t>60º mês</t>
  </si>
  <si>
    <t>61º mês</t>
  </si>
  <si>
    <t>62º mês</t>
  </si>
  <si>
    <t>63º mês</t>
  </si>
  <si>
    <t>64º mês</t>
  </si>
  <si>
    <t>65º mês</t>
  </si>
  <si>
    <t>66º mês</t>
  </si>
  <si>
    <t>67º mês</t>
  </si>
  <si>
    <t>68º mês</t>
  </si>
  <si>
    <t>69º mês</t>
  </si>
  <si>
    <t>70º mês</t>
  </si>
  <si>
    <t>71º mês</t>
  </si>
  <si>
    <t>72º mês</t>
  </si>
  <si>
    <t>73º mês</t>
  </si>
  <si>
    <t>74º mês</t>
  </si>
  <si>
    <t>75º mês</t>
  </si>
  <si>
    <t>76º mês</t>
  </si>
  <si>
    <t>77º mês</t>
  </si>
  <si>
    <t>78º mês</t>
  </si>
  <si>
    <t>79º mês</t>
  </si>
  <si>
    <t>80º mês</t>
  </si>
  <si>
    <t>81º mês</t>
  </si>
  <si>
    <t>82º mês</t>
  </si>
  <si>
    <t>83º mês</t>
  </si>
  <si>
    <t>84º mês</t>
  </si>
  <si>
    <t>85º mês</t>
  </si>
  <si>
    <t>86º mês</t>
  </si>
  <si>
    <t>87º mês</t>
  </si>
  <si>
    <t>88º mês</t>
  </si>
  <si>
    <t>89º mês</t>
  </si>
  <si>
    <t>90º mês</t>
  </si>
  <si>
    <t>91º mês</t>
  </si>
  <si>
    <t>92º mês</t>
  </si>
  <si>
    <t>93º mês</t>
  </si>
  <si>
    <t>94º mês</t>
  </si>
  <si>
    <t>95º mês</t>
  </si>
  <si>
    <t>96º mês</t>
  </si>
  <si>
    <t>97º mês</t>
  </si>
  <si>
    <t>98º mês</t>
  </si>
  <si>
    <t>99º mês</t>
  </si>
  <si>
    <t>100º mês</t>
  </si>
  <si>
    <t>101º mês</t>
  </si>
  <si>
    <t>102º mês</t>
  </si>
  <si>
    <t>103º mês</t>
  </si>
  <si>
    <t>104º mês</t>
  </si>
  <si>
    <t>105º mês</t>
  </si>
  <si>
    <t>106º mês</t>
  </si>
  <si>
    <t>107º mês</t>
  </si>
  <si>
    <t>108º mês</t>
  </si>
  <si>
    <t>109º mês</t>
  </si>
  <si>
    <t>110º mês</t>
  </si>
  <si>
    <t>111º mês</t>
  </si>
  <si>
    <t>112º mês</t>
  </si>
  <si>
    <t>113º mês</t>
  </si>
  <si>
    <t>114º mês</t>
  </si>
  <si>
    <t>115º mês</t>
  </si>
  <si>
    <t>116º mês</t>
  </si>
  <si>
    <t>117º mês</t>
  </si>
  <si>
    <t>118º mês</t>
  </si>
  <si>
    <t>119º mês</t>
  </si>
  <si>
    <t>120º mês</t>
  </si>
  <si>
    <t>121º mês</t>
  </si>
  <si>
    <t>122º mês</t>
  </si>
  <si>
    <t>123º mês</t>
  </si>
  <si>
    <t>124º mês</t>
  </si>
  <si>
    <t>125º mês</t>
  </si>
  <si>
    <t>126º mês</t>
  </si>
  <si>
    <t>127º mês</t>
  </si>
  <si>
    <t>128º mês</t>
  </si>
  <si>
    <t>129º mês</t>
  </si>
  <si>
    <t>130º mês</t>
  </si>
  <si>
    <t>131º mês</t>
  </si>
  <si>
    <t>132º mês</t>
  </si>
  <si>
    <t>133º mês</t>
  </si>
  <si>
    <t>134º mês</t>
  </si>
  <si>
    <t>135º mês</t>
  </si>
  <si>
    <t>136º mês</t>
  </si>
  <si>
    <t>137º mês</t>
  </si>
  <si>
    <t>138º mês</t>
  </si>
  <si>
    <t>139º mês</t>
  </si>
  <si>
    <t>140º mês</t>
  </si>
  <si>
    <t>141º mês</t>
  </si>
  <si>
    <t>142º mês</t>
  </si>
  <si>
    <t>143º mês</t>
  </si>
  <si>
    <t>144º mês</t>
  </si>
  <si>
    <t>145º mês</t>
  </si>
  <si>
    <t>146º mês</t>
  </si>
  <si>
    <t>147º mês</t>
  </si>
  <si>
    <t>148º mês</t>
  </si>
  <si>
    <t>149º mês</t>
  </si>
  <si>
    <t>150º mês</t>
  </si>
  <si>
    <t>151º mês</t>
  </si>
  <si>
    <t>152º mês</t>
  </si>
  <si>
    <t>153º mês</t>
  </si>
  <si>
    <t>154º mês</t>
  </si>
  <si>
    <t>155º mês</t>
  </si>
  <si>
    <t>156º mês</t>
  </si>
  <si>
    <t>157º mês</t>
  </si>
  <si>
    <t>158º mês</t>
  </si>
  <si>
    <t>159º mês</t>
  </si>
  <si>
    <t>160º mês</t>
  </si>
  <si>
    <t>161º mês</t>
  </si>
  <si>
    <t>162º mês</t>
  </si>
  <si>
    <t>163º mês</t>
  </si>
  <si>
    <t>164º mês</t>
  </si>
  <si>
    <t>165º mês</t>
  </si>
  <si>
    <t>166º mês</t>
  </si>
  <si>
    <t>167º mês</t>
  </si>
  <si>
    <t>168º mês</t>
  </si>
  <si>
    <t>169º mês</t>
  </si>
  <si>
    <t>170º mês</t>
  </si>
  <si>
    <t>171º mês</t>
  </si>
  <si>
    <t>172º mês</t>
  </si>
  <si>
    <t>173º mês</t>
  </si>
  <si>
    <t>174º mês</t>
  </si>
  <si>
    <t>175º mês</t>
  </si>
  <si>
    <t>176º mês</t>
  </si>
  <si>
    <t>177º mês</t>
  </si>
  <si>
    <t>178º mês</t>
  </si>
  <si>
    <t>179º mês</t>
  </si>
  <si>
    <t>180º mês</t>
  </si>
  <si>
    <t>181º mês</t>
  </si>
  <si>
    <t>182º mês</t>
  </si>
  <si>
    <t>183º mês</t>
  </si>
  <si>
    <t>184º mês</t>
  </si>
  <si>
    <t>185º mês</t>
  </si>
  <si>
    <t>186º mês</t>
  </si>
  <si>
    <t>187º mês</t>
  </si>
  <si>
    <t>188º mês</t>
  </si>
  <si>
    <t>189º mês</t>
  </si>
  <si>
    <t>190º mês</t>
  </si>
  <si>
    <t>191º mês</t>
  </si>
  <si>
    <t>192º mês</t>
  </si>
  <si>
    <t>193º mês</t>
  </si>
  <si>
    <t>194º mês</t>
  </si>
  <si>
    <t>195º mês</t>
  </si>
  <si>
    <t>196º mês</t>
  </si>
  <si>
    <t>197º mês</t>
  </si>
  <si>
    <t>198º mês</t>
  </si>
  <si>
    <t>199º mês</t>
  </si>
  <si>
    <t>200º mês</t>
  </si>
  <si>
    <t>201º mês</t>
  </si>
  <si>
    <t>202º mês</t>
  </si>
  <si>
    <t>203º mês</t>
  </si>
  <si>
    <t>204º mês</t>
  </si>
  <si>
    <t>205º mês</t>
  </si>
  <si>
    <t>206º mês</t>
  </si>
  <si>
    <t>207º mês</t>
  </si>
  <si>
    <t>208º mês</t>
  </si>
  <si>
    <t>209º mês</t>
  </si>
  <si>
    <t>210º mês</t>
  </si>
  <si>
    <t>211º mês</t>
  </si>
  <si>
    <t>212º mês</t>
  </si>
  <si>
    <t>213º mês</t>
  </si>
  <si>
    <t>214º mês</t>
  </si>
  <si>
    <t>215º mês</t>
  </si>
  <si>
    <t>216º mês</t>
  </si>
  <si>
    <t>217º mês</t>
  </si>
  <si>
    <t>218º mês</t>
  </si>
  <si>
    <t>219º mês</t>
  </si>
  <si>
    <t>220º mês</t>
  </si>
  <si>
    <r>
      <t xml:space="preserve">Modalidade: </t>
    </r>
    <r>
      <rPr>
        <b/>
        <sz val="20"/>
        <color theme="2"/>
        <rFont val="Calibri"/>
        <family val="2"/>
        <scheme val="minor"/>
      </rPr>
      <t>SORTEIO</t>
    </r>
  </si>
  <si>
    <r>
      <t xml:space="preserve">Modalidade: </t>
    </r>
    <r>
      <rPr>
        <b/>
        <sz val="20"/>
        <color theme="2"/>
        <rFont val="Calibri"/>
        <family val="2"/>
        <scheme val="minor"/>
      </rPr>
      <t>LANCE FIXO</t>
    </r>
  </si>
  <si>
    <r>
      <t xml:space="preserve">Alavancagem - </t>
    </r>
    <r>
      <rPr>
        <sz val="38"/>
        <color rgb="FFFFFFFF"/>
        <rFont val="Calibri"/>
        <family val="2"/>
        <scheme val="major"/>
      </rPr>
      <t>Venda da Carta Contemplada</t>
    </r>
  </si>
  <si>
    <t>TOTAL ACUMULADO</t>
  </si>
  <si>
    <t>CDI (a.a.)</t>
  </si>
  <si>
    <t>CDI (a.m.)</t>
  </si>
  <si>
    <t>Investindo 100% do CDI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</si>
</sst>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[$R$ -416]#,##0.00"/>
    <numFmt numFmtId="165" formatCode="&quot;R$&quot;#,##0.00"/>
    <numFmt numFmtId="166" formatCode="&quot;R$&quot;\ #,##0.00"/>
    <numFmt numFmtId="167" formatCode="0.0000%"/>
  </numFmts>
  <fonts count="2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b/>
      <sz val="24"/>
      <color theme="1"/>
      <name val="Calibri"/>
      <family val="2"/>
    </font>
    <font>
      <sz val="11"/>
      <color theme="1"/>
      <name val="Calibri"/>
      <family val="2"/>
    </font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8"/>
      <color rgb="FF000000"/>
      <name val="Calibri"/>
      <family val="2"/>
    </font>
    <font>
      <strike/>
      <sz val="18"/>
      <color theme="0"/>
      <name val="Calibri"/>
      <family val="2"/>
    </font>
    <font>
      <b/>
      <sz val="18"/>
      <color rgb="FF006100"/>
      <name val="Calibri"/>
      <family val="2"/>
    </font>
    <font>
      <b/>
      <sz val="18"/>
      <color theme="1"/>
      <name val="Calibri"/>
      <family val="2"/>
    </font>
    <font>
      <b/>
      <sz val="12"/>
      <color theme="0"/>
      <name val="Calibri"/>
      <family val="2"/>
      <scheme val="minor"/>
    </font>
    <font>
      <sz val="8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1"/>
      <color theme="0"/>
      <name val="Calibri (Corpo)"/>
    </font>
    <font>
      <sz val="11"/>
      <color theme="1"/>
      <name val="Calibri"/>
      <family val="2"/>
      <scheme val="minor"/>
    </font>
    <font>
      <sz val="20"/>
      <color theme="2"/>
      <name val="Calibri"/>
      <family val="2"/>
      <scheme val="minor"/>
    </font>
    <font>
      <b/>
      <sz val="20"/>
      <color theme="2"/>
      <name val="Calibri"/>
      <family val="2"/>
      <scheme val="minor"/>
    </font>
    <font>
      <b/>
      <sz val="38"/>
      <color rgb="FFFFFFFF"/>
      <name val="Calibri"/>
      <family val="2"/>
      <scheme val="major"/>
    </font>
    <font>
      <sz val="38"/>
      <color rgb="FFFFFFFF"/>
      <name val="Calibri"/>
      <family val="2"/>
      <scheme val="major"/>
    </font>
  </fonts>
  <fills count="15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C6EFCE"/>
        <bgColor rgb="FFC6EFCE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C00000"/>
        <bgColor rgb="FFFFC7CE"/>
      </patternFill>
    </fill>
    <fill>
      <patternFill patternType="solid">
        <fgColor rgb="FFC00000"/>
        <bgColor rgb="FF000000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1" tint="0.499984740745262"/>
        <bgColor rgb="FF000000"/>
      </patternFill>
    </fill>
    <fill>
      <patternFill patternType="solid">
        <fgColor theme="1" tint="0.499984740745262"/>
        <bgColor rgb="FF666666"/>
      </patternFill>
    </fill>
    <fill>
      <patternFill patternType="solid">
        <fgColor theme="1"/>
        <bgColor rgb="FF000000"/>
      </patternFill>
    </fill>
    <fill>
      <patternFill patternType="solid">
        <fgColor theme="1"/>
        <bgColor indexed="64"/>
      </patternFill>
    </fill>
    <fill>
      <patternFill patternType="solid">
        <fgColor theme="5"/>
        <bgColor indexed="64"/>
      </patternFill>
    </fill>
  </fills>
  <borders count="11">
    <border>
      <left/>
      <right/>
      <top/>
      <bottom/>
      <diagonal/>
    </border>
    <border>
      <left style="medium">
        <color theme="1"/>
      </left>
      <right style="thin">
        <color rgb="FF000000"/>
      </right>
      <top style="medium">
        <color theme="1"/>
      </top>
      <bottom style="medium">
        <color theme="1"/>
      </bottom>
      <diagonal/>
    </border>
    <border>
      <left style="thin">
        <color rgb="FF000000"/>
      </left>
      <right style="thin">
        <color rgb="FF000000"/>
      </right>
      <top style="medium">
        <color theme="1"/>
      </top>
      <bottom style="medium">
        <color theme="1"/>
      </bottom>
      <diagonal/>
    </border>
    <border>
      <left style="thin">
        <color rgb="FF000000"/>
      </left>
      <right/>
      <top style="medium">
        <color theme="1"/>
      </top>
      <bottom style="medium">
        <color theme="1"/>
      </bottom>
      <diagonal/>
    </border>
    <border>
      <left style="thin">
        <color indexed="64"/>
      </left>
      <right style="medium">
        <color theme="1"/>
      </right>
      <top style="medium">
        <color theme="1"/>
      </top>
      <bottom style="medium">
        <color theme="1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9" fontId="16" fillId="0" borderId="0" applyFont="0" applyFill="0" applyBorder="0" applyAlignment="0" applyProtection="0"/>
  </cellStyleXfs>
  <cellXfs count="75">
    <xf numFmtId="0" fontId="0" fillId="0" borderId="0" xfId="0"/>
    <xf numFmtId="0" fontId="2" fillId="0" borderId="0" xfId="0" applyFont="1"/>
    <xf numFmtId="16" fontId="3" fillId="0" borderId="0" xfId="0" applyNumberFormat="1" applyFont="1"/>
    <xf numFmtId="164" fontId="4" fillId="0" borderId="0" xfId="0" applyNumberFormat="1" applyFont="1"/>
    <xf numFmtId="0" fontId="4" fillId="0" borderId="0" xfId="0" applyFont="1" applyAlignment="1">
      <alignment horizontal="center"/>
    </xf>
    <xf numFmtId="164" fontId="4" fillId="0" borderId="0" xfId="0" applyNumberFormat="1" applyFont="1" applyAlignment="1">
      <alignment horizontal="center"/>
    </xf>
    <xf numFmtId="166" fontId="0" fillId="0" borderId="0" xfId="0" applyNumberFormat="1"/>
    <xf numFmtId="0" fontId="4" fillId="4" borderId="0" xfId="0" applyFont="1" applyFill="1" applyAlignment="1">
      <alignment horizontal="left"/>
    </xf>
    <xf numFmtId="166" fontId="4" fillId="0" borderId="0" xfId="0" applyNumberFormat="1" applyFont="1"/>
    <xf numFmtId="166" fontId="4" fillId="0" borderId="0" xfId="0" applyNumberFormat="1" applyFont="1" applyAlignment="1">
      <alignment horizontal="center"/>
    </xf>
    <xf numFmtId="166" fontId="0" fillId="0" borderId="0" xfId="0" applyNumberFormat="1" applyAlignment="1">
      <alignment horizontal="center"/>
    </xf>
    <xf numFmtId="166" fontId="4" fillId="5" borderId="0" xfId="0" applyNumberFormat="1" applyFont="1" applyFill="1" applyAlignment="1">
      <alignment horizontal="center"/>
    </xf>
    <xf numFmtId="10" fontId="0" fillId="5" borderId="0" xfId="0" applyNumberFormat="1" applyFill="1" applyAlignment="1">
      <alignment horizontal="center"/>
    </xf>
    <xf numFmtId="10" fontId="0" fillId="0" borderId="0" xfId="0" applyNumberFormat="1" applyAlignment="1">
      <alignment horizontal="center"/>
    </xf>
    <xf numFmtId="10" fontId="4" fillId="5" borderId="0" xfId="0" applyNumberFormat="1" applyFont="1" applyFill="1" applyAlignment="1">
      <alignment horizontal="center"/>
    </xf>
    <xf numFmtId="166" fontId="7" fillId="6" borderId="0" xfId="0" applyNumberFormat="1" applyFont="1" applyFill="1" applyAlignment="1">
      <alignment horizontal="center"/>
    </xf>
    <xf numFmtId="10" fontId="7" fillId="6" borderId="0" xfId="0" applyNumberFormat="1" applyFont="1" applyFill="1" applyAlignment="1">
      <alignment horizontal="center"/>
    </xf>
    <xf numFmtId="0" fontId="15" fillId="8" borderId="0" xfId="0" applyFont="1" applyFill="1" applyAlignment="1">
      <alignment horizontal="center"/>
    </xf>
    <xf numFmtId="166" fontId="4" fillId="0" borderId="0" xfId="0" applyNumberFormat="1" applyFon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0" fontId="15" fillId="9" borderId="0" xfId="0" applyFont="1" applyFill="1" applyAlignment="1">
      <alignment horizontal="center"/>
    </xf>
    <xf numFmtId="0" fontId="15" fillId="10" borderId="0" xfId="0" applyFont="1" applyFill="1" applyAlignment="1">
      <alignment horizontal="center"/>
    </xf>
    <xf numFmtId="0" fontId="5" fillId="11" borderId="0" xfId="0" applyFont="1" applyFill="1" applyAlignment="1">
      <alignment horizontal="center"/>
    </xf>
    <xf numFmtId="166" fontId="7" fillId="9" borderId="0" xfId="0" applyNumberFormat="1" applyFont="1" applyFill="1" applyAlignment="1">
      <alignment horizontal="center" vertical="center"/>
    </xf>
    <xf numFmtId="10" fontId="7" fillId="9" borderId="0" xfId="0" applyNumberFormat="1" applyFont="1" applyFill="1" applyAlignment="1">
      <alignment horizontal="center"/>
    </xf>
    <xf numFmtId="165" fontId="8" fillId="2" borderId="1" xfId="0" applyNumberFormat="1" applyFont="1" applyFill="1" applyBorder="1" applyAlignment="1">
      <alignment horizontal="center" vertical="center"/>
    </xf>
    <xf numFmtId="165" fontId="8" fillId="2" borderId="2" xfId="0" applyNumberFormat="1" applyFont="1" applyFill="1" applyBorder="1" applyAlignment="1">
      <alignment horizontal="center" vertical="center"/>
    </xf>
    <xf numFmtId="164" fontId="9" fillId="7" borderId="2" xfId="0" applyNumberFormat="1" applyFont="1" applyFill="1" applyBorder="1" applyAlignment="1">
      <alignment horizontal="center" vertical="center"/>
    </xf>
    <xf numFmtId="164" fontId="10" fillId="3" borderId="2" xfId="0" applyNumberFormat="1" applyFont="1" applyFill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10" fontId="8" fillId="0" borderId="3" xfId="0" applyNumberFormat="1" applyFont="1" applyBorder="1" applyAlignment="1">
      <alignment horizontal="center" vertical="center"/>
    </xf>
    <xf numFmtId="9" fontId="14" fillId="0" borderId="4" xfId="0" applyNumberFormat="1" applyFont="1" applyBorder="1" applyAlignment="1">
      <alignment horizontal="center" vertical="center"/>
    </xf>
    <xf numFmtId="0" fontId="12" fillId="6" borderId="0" xfId="0" applyFont="1" applyFill="1" applyAlignment="1">
      <alignment horizontal="center" vertical="center" wrapText="1"/>
    </xf>
    <xf numFmtId="0" fontId="12" fillId="9" borderId="0" xfId="0" applyFont="1" applyFill="1" applyAlignment="1">
      <alignment horizontal="center" vertical="center" wrapText="1"/>
    </xf>
    <xf numFmtId="0" fontId="0" fillId="0" borderId="0" xfId="0" applyAlignment="1">
      <alignment wrapText="1"/>
    </xf>
    <xf numFmtId="0" fontId="12" fillId="9" borderId="5" xfId="0" applyFont="1" applyFill="1" applyBorder="1" applyAlignment="1">
      <alignment horizontal="center" vertical="center" wrapText="1"/>
    </xf>
    <xf numFmtId="166" fontId="4" fillId="0" borderId="5" xfId="0" applyNumberFormat="1" applyFont="1" applyBorder="1" applyAlignment="1">
      <alignment horizontal="center" vertical="center"/>
    </xf>
    <xf numFmtId="166" fontId="7" fillId="9" borderId="5" xfId="0" applyNumberFormat="1" applyFont="1" applyFill="1" applyBorder="1" applyAlignment="1">
      <alignment horizontal="center" vertical="center"/>
    </xf>
    <xf numFmtId="0" fontId="12" fillId="6" borderId="5" xfId="0" applyFont="1" applyFill="1" applyBorder="1" applyAlignment="1">
      <alignment horizontal="center" vertical="center" wrapText="1"/>
    </xf>
    <xf numFmtId="166" fontId="4" fillId="5" borderId="5" xfId="0" applyNumberFormat="1" applyFont="1" applyFill="1" applyBorder="1" applyAlignment="1">
      <alignment horizontal="center"/>
    </xf>
    <xf numFmtId="166" fontId="7" fillId="6" borderId="5" xfId="0" applyNumberFormat="1" applyFont="1" applyFill="1" applyBorder="1" applyAlignment="1">
      <alignment horizontal="center"/>
    </xf>
    <xf numFmtId="0" fontId="1" fillId="0" borderId="0" xfId="0" applyFont="1"/>
    <xf numFmtId="0" fontId="1" fillId="0" borderId="0" xfId="0" applyFont="1" applyAlignment="1">
      <alignment wrapText="1"/>
    </xf>
    <xf numFmtId="9" fontId="0" fillId="0" borderId="0" xfId="0" applyNumberFormat="1"/>
    <xf numFmtId="0" fontId="6" fillId="0" borderId="0" xfId="0" applyFont="1" applyAlignment="1">
      <alignment horizontal="center" vertical="center" wrapText="1"/>
    </xf>
    <xf numFmtId="10" fontId="0" fillId="0" borderId="0" xfId="1" applyNumberFormat="1" applyFont="1"/>
    <xf numFmtId="166" fontId="1" fillId="5" borderId="5" xfId="0" applyNumberFormat="1" applyFont="1" applyFill="1" applyBorder="1" applyAlignment="1">
      <alignment horizontal="center"/>
    </xf>
    <xf numFmtId="166" fontId="1" fillId="5" borderId="0" xfId="0" applyNumberFormat="1" applyFont="1" applyFill="1" applyAlignment="1">
      <alignment horizontal="center"/>
    </xf>
    <xf numFmtId="10" fontId="1" fillId="5" borderId="0" xfId="0" applyNumberFormat="1" applyFont="1" applyFill="1" applyAlignment="1">
      <alignment horizontal="center"/>
    </xf>
    <xf numFmtId="0" fontId="15" fillId="12" borderId="0" xfId="0" applyFont="1" applyFill="1" applyAlignment="1">
      <alignment horizontal="center"/>
    </xf>
    <xf numFmtId="166" fontId="7" fillId="13" borderId="5" xfId="0" applyNumberFormat="1" applyFont="1" applyFill="1" applyBorder="1" applyAlignment="1">
      <alignment horizontal="center"/>
    </xf>
    <xf numFmtId="166" fontId="7" fillId="13" borderId="0" xfId="0" applyNumberFormat="1" applyFont="1" applyFill="1" applyAlignment="1">
      <alignment horizontal="center"/>
    </xf>
    <xf numFmtId="10" fontId="7" fillId="13" borderId="0" xfId="0" applyNumberFormat="1" applyFont="1" applyFill="1" applyAlignment="1">
      <alignment horizontal="center"/>
    </xf>
    <xf numFmtId="166" fontId="1" fillId="5" borderId="5" xfId="0" applyNumberFormat="1" applyFont="1" applyFill="1" applyBorder="1" applyAlignment="1">
      <alignment horizontal="center" vertical="center"/>
    </xf>
    <xf numFmtId="166" fontId="1" fillId="5" borderId="0" xfId="0" applyNumberFormat="1" applyFont="1" applyFill="1" applyAlignment="1">
      <alignment horizontal="center" vertical="center"/>
    </xf>
    <xf numFmtId="166" fontId="7" fillId="13" borderId="5" xfId="0" applyNumberFormat="1" applyFont="1" applyFill="1" applyBorder="1" applyAlignment="1">
      <alignment horizontal="center" vertical="center"/>
    </xf>
    <xf numFmtId="166" fontId="7" fillId="13" borderId="0" xfId="0" applyNumberFormat="1" applyFont="1" applyFill="1" applyAlignment="1">
      <alignment horizontal="center" vertical="center"/>
    </xf>
    <xf numFmtId="0" fontId="12" fillId="14" borderId="5" xfId="0" applyFont="1" applyFill="1" applyBorder="1" applyAlignment="1">
      <alignment horizontal="center" vertical="center" wrapText="1"/>
    </xf>
    <xf numFmtId="166" fontId="7" fillId="14" borderId="5" xfId="0" applyNumberFormat="1" applyFont="1" applyFill="1" applyBorder="1" applyAlignment="1">
      <alignment horizontal="center"/>
    </xf>
    <xf numFmtId="10" fontId="14" fillId="0" borderId="4" xfId="0" applyNumberFormat="1" applyFont="1" applyBorder="1" applyAlignment="1">
      <alignment horizontal="center" vertical="center"/>
    </xf>
    <xf numFmtId="0" fontId="12" fillId="14" borderId="9" xfId="0" applyFont="1" applyFill="1" applyBorder="1" applyAlignment="1">
      <alignment horizontal="center" vertical="center" wrapText="1"/>
    </xf>
    <xf numFmtId="9" fontId="4" fillId="5" borderId="10" xfId="1" applyFont="1" applyFill="1" applyBorder="1" applyAlignment="1">
      <alignment horizontal="center"/>
    </xf>
    <xf numFmtId="167" fontId="4" fillId="5" borderId="10" xfId="1" applyNumberFormat="1" applyFont="1" applyFill="1" applyBorder="1" applyAlignment="1">
      <alignment horizontal="center"/>
    </xf>
    <xf numFmtId="167" fontId="7" fillId="14" borderId="10" xfId="1" applyNumberFormat="1" applyFont="1" applyFill="1" applyBorder="1" applyAlignment="1">
      <alignment horizontal="center"/>
    </xf>
    <xf numFmtId="167" fontId="1" fillId="5" borderId="10" xfId="1" applyNumberFormat="1" applyFont="1" applyFill="1" applyBorder="1" applyAlignment="1">
      <alignment horizontal="center"/>
    </xf>
    <xf numFmtId="167" fontId="7" fillId="13" borderId="10" xfId="1" applyNumberFormat="1" applyFont="1" applyFill="1" applyBorder="1" applyAlignment="1">
      <alignment horizontal="center"/>
    </xf>
    <xf numFmtId="0" fontId="17" fillId="6" borderId="6" xfId="0" applyFont="1" applyFill="1" applyBorder="1" applyAlignment="1">
      <alignment horizontal="center" vertical="center"/>
    </xf>
    <xf numFmtId="0" fontId="17" fillId="6" borderId="7" xfId="0" applyFont="1" applyFill="1" applyBorder="1" applyAlignment="1">
      <alignment horizontal="center" vertical="center"/>
    </xf>
    <xf numFmtId="0" fontId="17" fillId="9" borderId="6" xfId="0" applyFont="1" applyFill="1" applyBorder="1" applyAlignment="1">
      <alignment horizontal="center" vertical="center"/>
    </xf>
    <xf numFmtId="0" fontId="17" fillId="9" borderId="7" xfId="0" applyFont="1" applyFill="1" applyBorder="1" applyAlignment="1">
      <alignment horizontal="center" vertical="center"/>
    </xf>
    <xf numFmtId="0" fontId="19" fillId="11" borderId="0" xfId="0" applyFont="1" applyFill="1" applyAlignment="1">
      <alignment horizontal="center" vertical="center"/>
    </xf>
    <xf numFmtId="0" fontId="0" fillId="6" borderId="0" xfId="0" applyFill="1" applyAlignment="1">
      <alignment horizontal="center"/>
    </xf>
    <xf numFmtId="0" fontId="17" fillId="14" borderId="6" xfId="0" applyFont="1" applyFill="1" applyBorder="1" applyAlignment="1">
      <alignment horizontal="center" vertical="center"/>
    </xf>
    <xf numFmtId="0" fontId="17" fillId="14" borderId="8" xfId="0" applyFont="1" applyFill="1" applyBorder="1" applyAlignment="1">
      <alignment horizontal="center" vertical="center"/>
    </xf>
    <xf numFmtId="0" fontId="17" fillId="14" borderId="7" xfId="0" applyFont="1" applyFill="1" applyBorder="1" applyAlignment="1">
      <alignment horizontal="center" vertical="center"/>
    </xf>
  </cellXfs>
  <cellStyles count="2">
    <cellStyle name="Normal" xfId="0" builtinId="0"/>
    <cellStyle name="Porcentagem" xfId="1" builtinId="5"/>
  </cellStyles>
  <dxfs count="0"/>
  <tableStyles count="0" defaultTableStyle="TableStyleMedium2" defaultPivotStyle="PivotStyleLight16"/>
  <colors>
    <mruColors>
      <color rgb="FFBCFA71"/>
      <color rgb="FFBC625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8" Type="http://schemas.openxmlformats.org/officeDocument/2006/relationships/sharedStrings" Target="sharedStrings.xml"/><Relationship Id="rId17" Type="http://schemas.openxmlformats.org/officeDocument/2006/relationships/styles" Target="styles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15" Type="http://customschemas.google.com/relationships/workbookmetadata" Target="metadata"/><Relationship Id="rId1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92983</xdr:colOff>
      <xdr:row>0</xdr:row>
      <xdr:rowOff>81643</xdr:rowOff>
    </xdr:from>
    <xdr:ext cx="2818945" cy="605518"/>
    <xdr:pic>
      <xdr:nvPicPr>
        <xdr:cNvPr id="2" name="image1.png" title="Imagem">
          <a:extLst>
            <a:ext uri="{FF2B5EF4-FFF2-40B4-BE49-F238E27FC236}">
              <a16:creationId xmlns:a16="http://schemas.microsoft.com/office/drawing/2014/main" id="{E4176EFB-F5C8-444C-9987-AF62536A90CE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92983" y="81643"/>
          <a:ext cx="2818945" cy="605518"/>
        </a:xfrm>
        <a:prstGeom prst="rect">
          <a:avLst/>
        </a:prstGeom>
        <a:noFill/>
      </xdr:spPr>
    </xdr:pic>
    <xdr:clientData fLocksWithSheet="0"/>
  </xdr:oneCellAnchor>
  <xdr:oneCellAnchor>
    <xdr:from>
      <xdr:col>1</xdr:col>
      <xdr:colOff>320670</xdr:colOff>
      <xdr:row>7</xdr:row>
      <xdr:rowOff>19537</xdr:rowOff>
    </xdr:from>
    <xdr:ext cx="947616" cy="214925"/>
    <xdr:pic>
      <xdr:nvPicPr>
        <xdr:cNvPr id="3" name="image1.png" title="Imagem">
          <a:extLst>
            <a:ext uri="{FF2B5EF4-FFF2-40B4-BE49-F238E27FC236}">
              <a16:creationId xmlns:a16="http://schemas.microsoft.com/office/drawing/2014/main" id="{F55C9368-2E94-F847-A0B0-92AF39D5497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893516" y="1758460"/>
          <a:ext cx="947616" cy="214925"/>
        </a:xfrm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994"/>
  <sheetViews>
    <sheetView showGridLines="0" tabSelected="1" zoomScale="130" zoomScaleNormal="130" workbookViewId="0">
      <pane xSplit="1" ySplit="11" topLeftCell="B12" activePane="bottomRight" state="frozen"/>
      <selection pane="topRight" activeCell="B1" sqref="B1"/>
      <selection pane="bottomLeft" activeCell="A12" sqref="A12"/>
      <selection pane="bottomRight" activeCell="D9" sqref="D9"/>
    </sheetView>
  </sheetViews>
  <sheetFormatPr defaultColWidth="14.42578125" defaultRowHeight="15" customHeight="1"/>
  <cols>
    <col min="1" max="1" width="22.7109375" bestFit="1" customWidth="1"/>
    <col min="2" max="2" width="20.85546875" customWidth="1"/>
    <col min="3" max="3" width="17.7109375" bestFit="1" customWidth="1"/>
    <col min="4" max="4" width="17.85546875" bestFit="1" customWidth="1"/>
    <col min="5" max="5" width="14.85546875" customWidth="1"/>
    <col min="6" max="6" width="15.85546875" customWidth="1"/>
    <col min="7" max="7" width="12.28515625" customWidth="1"/>
    <col min="8" max="8" width="17.140625" customWidth="1"/>
    <col min="9" max="9" width="19.42578125" customWidth="1"/>
    <col min="10" max="10" width="17.7109375" customWidth="1"/>
    <col min="11" max="11" width="10" customWidth="1"/>
    <col min="12" max="12" width="22.140625" customWidth="1"/>
    <col min="13" max="13" width="14.42578125" bestFit="1" customWidth="1"/>
    <col min="14" max="14" width="13.85546875" customWidth="1"/>
    <col min="15" max="15" width="15.140625" customWidth="1"/>
    <col min="16" max="17" width="8.7109375" hidden="1" customWidth="1"/>
    <col min="18" max="23" width="8.7109375" customWidth="1"/>
  </cols>
  <sheetData>
    <row r="1" spans="1:17" ht="31.5">
      <c r="A1" s="1"/>
      <c r="B1" s="1"/>
    </row>
    <row r="2" spans="1:17" ht="31.5">
      <c r="A2" s="1"/>
      <c r="B2" s="1"/>
    </row>
    <row r="3" spans="1:17" ht="15" customHeight="1">
      <c r="A3" s="70" t="s">
        <v>242</v>
      </c>
      <c r="B3" s="70"/>
      <c r="C3" s="70"/>
      <c r="D3" s="70"/>
      <c r="E3" s="70"/>
      <c r="F3" s="70"/>
      <c r="G3" s="70"/>
      <c r="H3" s="70"/>
      <c r="M3" s="6"/>
    </row>
    <row r="4" spans="1:17" ht="15" customHeight="1">
      <c r="A4" s="70"/>
      <c r="B4" s="70"/>
      <c r="C4" s="70"/>
      <c r="D4" s="70"/>
      <c r="E4" s="70"/>
      <c r="F4" s="70"/>
      <c r="G4" s="70"/>
      <c r="H4" s="70"/>
    </row>
    <row r="5" spans="1:17" ht="15" customHeight="1">
      <c r="A5" s="70"/>
      <c r="B5" s="70"/>
      <c r="C5" s="70"/>
      <c r="D5" s="70"/>
      <c r="E5" s="70"/>
      <c r="F5" s="70"/>
      <c r="G5" s="70"/>
      <c r="H5" s="70"/>
      <c r="I5" s="2"/>
    </row>
    <row r="6" spans="1:17" ht="12" customHeight="1">
      <c r="A6" s="71"/>
      <c r="B6" s="71"/>
      <c r="C6" s="71"/>
      <c r="D6" s="71"/>
      <c r="E6" s="71"/>
      <c r="F6" s="71"/>
      <c r="G6" s="71"/>
      <c r="H6" s="71"/>
      <c r="I6" s="2"/>
    </row>
    <row r="7" spans="1:17" ht="17.100000000000001" customHeight="1" thickBot="1">
      <c r="A7" s="22" t="s">
        <v>0</v>
      </c>
      <c r="B7" s="22" t="s">
        <v>14</v>
      </c>
      <c r="C7" s="22" t="s">
        <v>1</v>
      </c>
      <c r="D7" s="22" t="s">
        <v>6</v>
      </c>
      <c r="E7" s="22" t="s">
        <v>4</v>
      </c>
      <c r="F7" s="22" t="s">
        <v>5</v>
      </c>
      <c r="G7" s="22" t="s">
        <v>13</v>
      </c>
      <c r="H7" s="22" t="s">
        <v>244</v>
      </c>
      <c r="I7" s="22" t="s">
        <v>245</v>
      </c>
    </row>
    <row r="8" spans="1:17" ht="21.75" customHeight="1" thickBot="1">
      <c r="A8" s="25">
        <v>100000</v>
      </c>
      <c r="B8" s="26"/>
      <c r="C8" s="27">
        <f>(A8*(1+Q12))/E8</f>
        <v>564.5454545454545</v>
      </c>
      <c r="D8" s="28">
        <v>338</v>
      </c>
      <c r="E8" s="29">
        <v>220</v>
      </c>
      <c r="F8" s="30">
        <v>0.06</v>
      </c>
      <c r="G8" s="31">
        <v>0.25</v>
      </c>
      <c r="H8" s="59">
        <v>0.14199999999999999</v>
      </c>
      <c r="I8" s="59">
        <f>H8/12</f>
        <v>1.1833333333333333E-2</v>
      </c>
    </row>
    <row r="9" spans="1:17" ht="21" customHeight="1" thickBot="1">
      <c r="A9" s="41"/>
      <c r="H9" s="3"/>
      <c r="I9" s="9"/>
      <c r="J9" s="5"/>
    </row>
    <row r="10" spans="1:17" ht="30" customHeight="1" thickBot="1">
      <c r="B10" s="66" t="s">
        <v>240</v>
      </c>
      <c r="C10" s="67"/>
      <c r="H10" s="68" t="s">
        <v>241</v>
      </c>
      <c r="I10" s="69"/>
      <c r="J10" s="4"/>
      <c r="L10" s="72" t="s">
        <v>246</v>
      </c>
      <c r="M10" s="73"/>
      <c r="N10" s="74"/>
    </row>
    <row r="11" spans="1:17" s="34" customFormat="1" ht="32.25" customHeight="1">
      <c r="A11" s="32" t="s">
        <v>11</v>
      </c>
      <c r="B11" s="38" t="s">
        <v>12</v>
      </c>
      <c r="C11" s="32" t="s">
        <v>10</v>
      </c>
      <c r="D11" s="32" t="s">
        <v>7</v>
      </c>
      <c r="E11" s="32" t="s">
        <v>8</v>
      </c>
      <c r="F11" s="32" t="s">
        <v>9</v>
      </c>
      <c r="G11" s="32" t="s">
        <v>2</v>
      </c>
      <c r="H11" s="35" t="s">
        <v>15</v>
      </c>
      <c r="I11" s="33" t="s">
        <v>8</v>
      </c>
      <c r="J11" s="33" t="s">
        <v>9</v>
      </c>
      <c r="K11" s="33" t="s">
        <v>2</v>
      </c>
      <c r="L11" s="57" t="s">
        <v>243</v>
      </c>
      <c r="M11" s="57" t="s">
        <v>9</v>
      </c>
      <c r="N11" s="60" t="s">
        <v>2</v>
      </c>
      <c r="P11"/>
      <c r="Q11" s="44" t="s">
        <v>19</v>
      </c>
    </row>
    <row r="12" spans="1:17" ht="15.95" customHeight="1">
      <c r="A12" s="20" t="s">
        <v>20</v>
      </c>
      <c r="B12" s="39">
        <f>A8</f>
        <v>100000</v>
      </c>
      <c r="C12" s="11">
        <f>D8</f>
        <v>338</v>
      </c>
      <c r="D12" s="11">
        <f>D8</f>
        <v>338</v>
      </c>
      <c r="E12" s="11">
        <f>B12*$G$8</f>
        <v>25000</v>
      </c>
      <c r="F12" s="11">
        <f t="shared" ref="F12:F75" si="0">E12-D12</f>
        <v>24662</v>
      </c>
      <c r="G12" s="12">
        <f>F12/D12</f>
        <v>72.964497041420117</v>
      </c>
      <c r="H12" s="36">
        <f t="shared" ref="H12:H75" si="1">B12-(((B12*(1+$Q$12))/$E$8)*$Q$14)</f>
        <v>75160</v>
      </c>
      <c r="I12" s="18">
        <f>H12*$G$8</f>
        <v>18790</v>
      </c>
      <c r="J12" s="18">
        <f>I12-D12</f>
        <v>18452</v>
      </c>
      <c r="K12" s="13">
        <f>J12/D12</f>
        <v>54.591715976331358</v>
      </c>
      <c r="L12" s="39">
        <f>C12</f>
        <v>338</v>
      </c>
      <c r="M12" s="39">
        <f>$L12-SUM($C$12:$C12)</f>
        <v>0</v>
      </c>
      <c r="N12" s="61">
        <v>0</v>
      </c>
      <c r="P12" s="7" t="s">
        <v>3</v>
      </c>
      <c r="Q12" s="45">
        <v>0.24199999999999999</v>
      </c>
    </row>
    <row r="13" spans="1:17" ht="15.95" customHeight="1">
      <c r="A13" s="21" t="s">
        <v>21</v>
      </c>
      <c r="B13" s="39">
        <f>B12</f>
        <v>100000</v>
      </c>
      <c r="C13" s="11">
        <f>C12</f>
        <v>338</v>
      </c>
      <c r="D13" s="11">
        <f>D12+C13</f>
        <v>676</v>
      </c>
      <c r="E13" s="11">
        <f t="shared" ref="E13:E76" si="2">B13*$G$8</f>
        <v>25000</v>
      </c>
      <c r="F13" s="11">
        <f t="shared" si="0"/>
        <v>24324</v>
      </c>
      <c r="G13" s="12">
        <f t="shared" ref="G13:G76" si="3">F13/D13</f>
        <v>35.982248520710058</v>
      </c>
      <c r="H13" s="36">
        <f t="shared" si="1"/>
        <v>75160</v>
      </c>
      <c r="I13" s="18">
        <f t="shared" ref="I13:I76" si="4">H13*$G$8</f>
        <v>18790</v>
      </c>
      <c r="J13" s="18">
        <f t="shared" ref="J13:J76" si="5">I13-D13</f>
        <v>18114</v>
      </c>
      <c r="K13" s="13">
        <f t="shared" ref="K13:K76" si="6">J13/D13</f>
        <v>26.795857988165679</v>
      </c>
      <c r="L13" s="39">
        <f t="shared" ref="L13:L76" si="7">(L12*(1+($H$8/12)))+C13</f>
        <v>679.9996666666666</v>
      </c>
      <c r="M13" s="39">
        <f>$L13-SUM($C$12:$C13)</f>
        <v>3.9996666666665988</v>
      </c>
      <c r="N13" s="62">
        <f>M13/L13</f>
        <v>5.8818656283654049E-3</v>
      </c>
      <c r="P13" s="42" t="s">
        <v>17</v>
      </c>
      <c r="Q13" s="43">
        <v>0.5</v>
      </c>
    </row>
    <row r="14" spans="1:17" ht="15.95" customHeight="1">
      <c r="A14" s="21" t="s">
        <v>22</v>
      </c>
      <c r="B14" s="39">
        <f t="shared" ref="B14:B23" si="8">B13</f>
        <v>100000</v>
      </c>
      <c r="C14" s="11">
        <f t="shared" ref="C14:C77" si="9">C13</f>
        <v>338</v>
      </c>
      <c r="D14" s="11">
        <f t="shared" ref="D14:D77" si="10">D13+C14</f>
        <v>1014</v>
      </c>
      <c r="E14" s="11">
        <f t="shared" si="2"/>
        <v>25000</v>
      </c>
      <c r="F14" s="11">
        <f t="shared" si="0"/>
        <v>23986</v>
      </c>
      <c r="G14" s="12">
        <f t="shared" si="3"/>
        <v>23.65483234714004</v>
      </c>
      <c r="H14" s="36">
        <f t="shared" si="1"/>
        <v>75160</v>
      </c>
      <c r="I14" s="19">
        <f t="shared" si="4"/>
        <v>18790</v>
      </c>
      <c r="J14" s="19">
        <f t="shared" si="5"/>
        <v>17776</v>
      </c>
      <c r="K14" s="13">
        <f t="shared" si="6"/>
        <v>17.530571992110453</v>
      </c>
      <c r="L14" s="39">
        <f t="shared" si="7"/>
        <v>1026.0463293888888</v>
      </c>
      <c r="M14" s="39">
        <f>$L14-SUM($C$12:$C14)</f>
        <v>12.046329388888807</v>
      </c>
      <c r="N14" s="62">
        <f t="shared" ref="N14:N77" si="11">M14/L14</f>
        <v>1.1740531634729962E-2</v>
      </c>
      <c r="P14" s="41" t="s">
        <v>16</v>
      </c>
      <c r="Q14">
        <v>44</v>
      </c>
    </row>
    <row r="15" spans="1:17" ht="15.95" customHeight="1">
      <c r="A15" s="21" t="s">
        <v>23</v>
      </c>
      <c r="B15" s="39">
        <f t="shared" si="8"/>
        <v>100000</v>
      </c>
      <c r="C15" s="11">
        <f t="shared" si="9"/>
        <v>338</v>
      </c>
      <c r="D15" s="11">
        <f t="shared" si="10"/>
        <v>1352</v>
      </c>
      <c r="E15" s="11">
        <f t="shared" si="2"/>
        <v>25000</v>
      </c>
      <c r="F15" s="11">
        <f t="shared" si="0"/>
        <v>23648</v>
      </c>
      <c r="G15" s="12">
        <f t="shared" si="3"/>
        <v>17.491124260355029</v>
      </c>
      <c r="H15" s="36">
        <f t="shared" si="1"/>
        <v>75160</v>
      </c>
      <c r="I15" s="19">
        <f t="shared" si="4"/>
        <v>18790</v>
      </c>
      <c r="J15" s="19">
        <f t="shared" si="5"/>
        <v>17438</v>
      </c>
      <c r="K15" s="13">
        <f t="shared" si="6"/>
        <v>12.897928994082839</v>
      </c>
      <c r="L15" s="39">
        <f t="shared" si="7"/>
        <v>1376.1878776199908</v>
      </c>
      <c r="M15" s="39">
        <f>$L15-SUM($C$12:$C15)</f>
        <v>24.187877619990786</v>
      </c>
      <c r="N15" s="62">
        <f t="shared" si="11"/>
        <v>1.7575999624282281E-2</v>
      </c>
      <c r="P15" s="41" t="s">
        <v>18</v>
      </c>
      <c r="Q15" s="6">
        <f>(A8*(1-Q13))+(A8*Q12)</f>
        <v>74200</v>
      </c>
    </row>
    <row r="16" spans="1:17" ht="15.95" customHeight="1">
      <c r="A16" s="21" t="s">
        <v>24</v>
      </c>
      <c r="B16" s="39">
        <f t="shared" si="8"/>
        <v>100000</v>
      </c>
      <c r="C16" s="11">
        <f t="shared" si="9"/>
        <v>338</v>
      </c>
      <c r="D16" s="11">
        <f t="shared" si="10"/>
        <v>1690</v>
      </c>
      <c r="E16" s="11">
        <f t="shared" si="2"/>
        <v>25000</v>
      </c>
      <c r="F16" s="11">
        <f t="shared" si="0"/>
        <v>23310</v>
      </c>
      <c r="G16" s="13">
        <f t="shared" si="3"/>
        <v>13.792899408284024</v>
      </c>
      <c r="H16" s="36">
        <f t="shared" si="1"/>
        <v>75160</v>
      </c>
      <c r="I16" s="19">
        <f t="shared" si="4"/>
        <v>18790</v>
      </c>
      <c r="J16" s="19">
        <f t="shared" si="5"/>
        <v>17100</v>
      </c>
      <c r="K16" s="13">
        <f t="shared" si="6"/>
        <v>10.118343195266272</v>
      </c>
      <c r="L16" s="39">
        <f t="shared" si="7"/>
        <v>1730.4727675051606</v>
      </c>
      <c r="M16" s="39">
        <f>$L16-SUM($C$12:$C16)</f>
        <v>40.472767505160618</v>
      </c>
      <c r="N16" s="62">
        <f t="shared" si="11"/>
        <v>2.3388271844064095E-2</v>
      </c>
    </row>
    <row r="17" spans="1:17" ht="15.95" customHeight="1">
      <c r="A17" s="21" t="s">
        <v>25</v>
      </c>
      <c r="B17" s="39">
        <f t="shared" si="8"/>
        <v>100000</v>
      </c>
      <c r="C17" s="11">
        <f t="shared" si="9"/>
        <v>338</v>
      </c>
      <c r="D17" s="11">
        <f t="shared" si="10"/>
        <v>2028</v>
      </c>
      <c r="E17" s="11">
        <f t="shared" si="2"/>
        <v>25000</v>
      </c>
      <c r="F17" s="11">
        <f t="shared" si="0"/>
        <v>22972</v>
      </c>
      <c r="G17" s="12">
        <f t="shared" si="3"/>
        <v>11.32741617357002</v>
      </c>
      <c r="H17" s="36">
        <f t="shared" si="1"/>
        <v>75160</v>
      </c>
      <c r="I17" s="19">
        <f t="shared" si="4"/>
        <v>18790</v>
      </c>
      <c r="J17" s="19">
        <f t="shared" si="5"/>
        <v>16762</v>
      </c>
      <c r="K17" s="13">
        <f t="shared" si="6"/>
        <v>8.2652859960552263</v>
      </c>
      <c r="L17" s="39">
        <f t="shared" si="7"/>
        <v>2088.950028587305</v>
      </c>
      <c r="M17" s="39">
        <f>$L17-SUM($C$12:$C17)</f>
        <v>60.950028587305042</v>
      </c>
      <c r="N17" s="62">
        <f t="shared" si="11"/>
        <v>2.9177351182748848E-2</v>
      </c>
    </row>
    <row r="18" spans="1:17" ht="15.95" customHeight="1">
      <c r="A18" s="21" t="s">
        <v>26</v>
      </c>
      <c r="B18" s="39">
        <f t="shared" si="8"/>
        <v>100000</v>
      </c>
      <c r="C18" s="11">
        <f t="shared" si="9"/>
        <v>338</v>
      </c>
      <c r="D18" s="11">
        <f t="shared" si="10"/>
        <v>2366</v>
      </c>
      <c r="E18" s="11">
        <f t="shared" si="2"/>
        <v>25000</v>
      </c>
      <c r="F18" s="11">
        <f t="shared" si="0"/>
        <v>22634</v>
      </c>
      <c r="G18" s="12">
        <f t="shared" si="3"/>
        <v>9.5663567202028741</v>
      </c>
      <c r="H18" s="36">
        <f t="shared" si="1"/>
        <v>75160</v>
      </c>
      <c r="I18" s="18">
        <f t="shared" si="4"/>
        <v>18790</v>
      </c>
      <c r="J18" s="18">
        <f t="shared" si="5"/>
        <v>16424</v>
      </c>
      <c r="K18" s="13">
        <f t="shared" si="6"/>
        <v>6.9416737109044799</v>
      </c>
      <c r="L18" s="39">
        <f t="shared" si="7"/>
        <v>2451.6692705922551</v>
      </c>
      <c r="M18" s="39">
        <f>$L18-SUM($C$12:$C18)</f>
        <v>85.669270592255089</v>
      </c>
      <c r="N18" s="62">
        <f t="shared" si="11"/>
        <v>3.4943241170355646E-2</v>
      </c>
      <c r="Q18" s="6"/>
    </row>
    <row r="19" spans="1:17" ht="15.95" customHeight="1">
      <c r="A19" s="21" t="s">
        <v>27</v>
      </c>
      <c r="B19" s="39">
        <f t="shared" si="8"/>
        <v>100000</v>
      </c>
      <c r="C19" s="11">
        <f t="shared" si="9"/>
        <v>338</v>
      </c>
      <c r="D19" s="11">
        <f t="shared" si="10"/>
        <v>2704</v>
      </c>
      <c r="E19" s="11">
        <f t="shared" si="2"/>
        <v>25000</v>
      </c>
      <c r="F19" s="11">
        <f t="shared" si="0"/>
        <v>22296</v>
      </c>
      <c r="G19" s="12">
        <f t="shared" si="3"/>
        <v>8.2455621301775146</v>
      </c>
      <c r="H19" s="36">
        <f t="shared" si="1"/>
        <v>75160</v>
      </c>
      <c r="I19" s="19">
        <f t="shared" si="4"/>
        <v>18790</v>
      </c>
      <c r="J19" s="19">
        <f t="shared" si="5"/>
        <v>16086</v>
      </c>
      <c r="K19" s="13">
        <f t="shared" si="6"/>
        <v>5.9489644970414197</v>
      </c>
      <c r="L19" s="39">
        <f t="shared" si="7"/>
        <v>2818.6806902942635</v>
      </c>
      <c r="M19" s="39">
        <f>$L19-SUM($C$12:$C19)</f>
        <v>114.68069029426351</v>
      </c>
      <c r="N19" s="62">
        <f t="shared" si="11"/>
        <v>4.0685945977900435E-2</v>
      </c>
    </row>
    <row r="20" spans="1:17" ht="15.95" customHeight="1">
      <c r="A20" s="21" t="s">
        <v>28</v>
      </c>
      <c r="B20" s="39">
        <f t="shared" si="8"/>
        <v>100000</v>
      </c>
      <c r="C20" s="11">
        <f t="shared" si="9"/>
        <v>338</v>
      </c>
      <c r="D20" s="11">
        <f t="shared" si="10"/>
        <v>3042</v>
      </c>
      <c r="E20" s="11">
        <f t="shared" si="2"/>
        <v>25000</v>
      </c>
      <c r="F20" s="11">
        <f t="shared" si="0"/>
        <v>21958</v>
      </c>
      <c r="G20" s="12">
        <f t="shared" si="3"/>
        <v>7.2182774490466795</v>
      </c>
      <c r="H20" s="36">
        <f t="shared" si="1"/>
        <v>75160</v>
      </c>
      <c r="I20" s="19">
        <f t="shared" si="4"/>
        <v>18790</v>
      </c>
      <c r="J20" s="19">
        <f t="shared" si="5"/>
        <v>15748</v>
      </c>
      <c r="K20" s="13">
        <f t="shared" si="6"/>
        <v>5.1768573307034842</v>
      </c>
      <c r="L20" s="39">
        <f t="shared" si="7"/>
        <v>3190.0350784627458</v>
      </c>
      <c r="M20" s="39">
        <f>$L20-SUM($C$12:$C20)</f>
        <v>148.03507846274579</v>
      </c>
      <c r="N20" s="62">
        <f t="shared" si="11"/>
        <v>4.64054704169845E-2</v>
      </c>
      <c r="Q20" s="6"/>
    </row>
    <row r="21" spans="1:17" ht="15.95" customHeight="1">
      <c r="A21" s="21" t="s">
        <v>29</v>
      </c>
      <c r="B21" s="39">
        <f t="shared" si="8"/>
        <v>100000</v>
      </c>
      <c r="C21" s="11">
        <f t="shared" si="9"/>
        <v>338</v>
      </c>
      <c r="D21" s="11">
        <f t="shared" si="10"/>
        <v>3380</v>
      </c>
      <c r="E21" s="11">
        <f t="shared" si="2"/>
        <v>25000</v>
      </c>
      <c r="F21" s="11">
        <f t="shared" si="0"/>
        <v>21620</v>
      </c>
      <c r="G21" s="14">
        <f t="shared" si="3"/>
        <v>6.3964497041420119</v>
      </c>
      <c r="H21" s="36">
        <f t="shared" si="1"/>
        <v>75160</v>
      </c>
      <c r="I21" s="19">
        <f t="shared" si="4"/>
        <v>18790</v>
      </c>
      <c r="J21" s="19">
        <f t="shared" si="5"/>
        <v>15410</v>
      </c>
      <c r="K21" s="13">
        <f t="shared" si="6"/>
        <v>4.559171597633136</v>
      </c>
      <c r="L21" s="39">
        <f t="shared" si="7"/>
        <v>3565.7838268912219</v>
      </c>
      <c r="M21" s="39">
        <f>$L21-SUM($C$12:$C21)</f>
        <v>185.78382689122191</v>
      </c>
      <c r="N21" s="62">
        <f t="shared" si="11"/>
        <v>5.2101819939318894E-2</v>
      </c>
      <c r="Q21" s="6"/>
    </row>
    <row r="22" spans="1:17" ht="15.95" customHeight="1">
      <c r="A22" s="21" t="s">
        <v>30</v>
      </c>
      <c r="B22" s="39">
        <f t="shared" si="8"/>
        <v>100000</v>
      </c>
      <c r="C22" s="11">
        <f t="shared" si="9"/>
        <v>338</v>
      </c>
      <c r="D22" s="11">
        <f t="shared" si="10"/>
        <v>3718</v>
      </c>
      <c r="E22" s="11">
        <f t="shared" si="2"/>
        <v>25000</v>
      </c>
      <c r="F22" s="11">
        <f t="shared" si="0"/>
        <v>21282</v>
      </c>
      <c r="G22" s="14">
        <f t="shared" si="3"/>
        <v>5.7240451855836474</v>
      </c>
      <c r="H22" s="36">
        <f t="shared" si="1"/>
        <v>75160</v>
      </c>
      <c r="I22" s="19">
        <f t="shared" si="4"/>
        <v>18790</v>
      </c>
      <c r="J22" s="19">
        <f t="shared" si="5"/>
        <v>15072</v>
      </c>
      <c r="K22" s="13">
        <f t="shared" si="6"/>
        <v>4.0537923614846694</v>
      </c>
      <c r="L22" s="39">
        <f t="shared" si="7"/>
        <v>3945.9789355094349</v>
      </c>
      <c r="M22" s="39">
        <f>$L22-SUM($C$12:$C22)</f>
        <v>227.9789355094349</v>
      </c>
      <c r="N22" s="62">
        <f t="shared" si="11"/>
        <v>5.7775000636186187E-2</v>
      </c>
      <c r="Q22" s="8"/>
    </row>
    <row r="23" spans="1:17" ht="15.95" customHeight="1">
      <c r="A23" s="17" t="s">
        <v>31</v>
      </c>
      <c r="B23" s="40">
        <f t="shared" si="8"/>
        <v>100000</v>
      </c>
      <c r="C23" s="15">
        <f t="shared" si="9"/>
        <v>338</v>
      </c>
      <c r="D23" s="15">
        <f t="shared" si="10"/>
        <v>4056</v>
      </c>
      <c r="E23" s="15">
        <f t="shared" si="2"/>
        <v>25000</v>
      </c>
      <c r="F23" s="15">
        <f t="shared" si="0"/>
        <v>20944</v>
      </c>
      <c r="G23" s="16">
        <f t="shared" si="3"/>
        <v>5.16370808678501</v>
      </c>
      <c r="H23" s="37">
        <f t="shared" si="1"/>
        <v>75160</v>
      </c>
      <c r="I23" s="23">
        <f t="shared" si="4"/>
        <v>18790</v>
      </c>
      <c r="J23" s="23">
        <f t="shared" si="5"/>
        <v>14734</v>
      </c>
      <c r="K23" s="24">
        <f t="shared" si="6"/>
        <v>3.6326429980276136</v>
      </c>
      <c r="L23" s="58">
        <f t="shared" si="7"/>
        <v>4330.6730195796299</v>
      </c>
      <c r="M23" s="58">
        <f>$L23-SUM($C$12:$C23)</f>
        <v>274.67301957962991</v>
      </c>
      <c r="N23" s="63">
        <f t="shared" si="11"/>
        <v>6.3425019237839358E-2</v>
      </c>
      <c r="Q23" s="10"/>
    </row>
    <row r="24" spans="1:17" ht="15.95" customHeight="1">
      <c r="A24" s="21" t="s">
        <v>32</v>
      </c>
      <c r="B24" s="39">
        <f>B23*(1+$F$8)</f>
        <v>106000</v>
      </c>
      <c r="C24" s="11">
        <f>C23*(1+$F$8)</f>
        <v>358.28000000000003</v>
      </c>
      <c r="D24" s="11">
        <f t="shared" si="10"/>
        <v>4414.28</v>
      </c>
      <c r="E24" s="11">
        <f t="shared" si="2"/>
        <v>26500</v>
      </c>
      <c r="F24" s="11">
        <f t="shared" si="0"/>
        <v>22085.72</v>
      </c>
      <c r="G24" s="12">
        <f t="shared" si="3"/>
        <v>5.0032440171443593</v>
      </c>
      <c r="H24" s="36">
        <f t="shared" si="1"/>
        <v>79669.600000000006</v>
      </c>
      <c r="I24" s="18">
        <f t="shared" si="4"/>
        <v>19917.400000000001</v>
      </c>
      <c r="J24" s="18">
        <f t="shared" si="5"/>
        <v>15503.120000000003</v>
      </c>
      <c r="K24" s="13">
        <f t="shared" si="6"/>
        <v>3.5120382032857007</v>
      </c>
      <c r="L24" s="39">
        <f t="shared" si="7"/>
        <v>4740.1993169779889</v>
      </c>
      <c r="M24" s="39">
        <f>$L24-SUM($C$12:$C24)</f>
        <v>325.91931697798918</v>
      </c>
      <c r="N24" s="62">
        <f t="shared" si="11"/>
        <v>6.8756458364660489E-2</v>
      </c>
      <c r="Q24" s="10"/>
    </row>
    <row r="25" spans="1:17" ht="15.95" customHeight="1">
      <c r="A25" s="21" t="s">
        <v>33</v>
      </c>
      <c r="B25" s="39">
        <f>B24</f>
        <v>106000</v>
      </c>
      <c r="C25" s="11">
        <f t="shared" si="9"/>
        <v>358.28000000000003</v>
      </c>
      <c r="D25" s="11">
        <f t="shared" si="10"/>
        <v>4772.5599999999995</v>
      </c>
      <c r="E25" s="11">
        <f t="shared" si="2"/>
        <v>26500</v>
      </c>
      <c r="F25" s="11">
        <f t="shared" si="0"/>
        <v>21727.440000000002</v>
      </c>
      <c r="G25" s="12">
        <f t="shared" si="3"/>
        <v>4.5525755569338058</v>
      </c>
      <c r="H25" s="36">
        <f t="shared" si="1"/>
        <v>79669.600000000006</v>
      </c>
      <c r="I25" s="19">
        <f t="shared" si="4"/>
        <v>19917.400000000001</v>
      </c>
      <c r="J25" s="19">
        <f t="shared" si="5"/>
        <v>15144.840000000002</v>
      </c>
      <c r="K25" s="13">
        <f t="shared" si="6"/>
        <v>3.1733157885914487</v>
      </c>
      <c r="L25" s="39">
        <f t="shared" si="7"/>
        <v>5154.5716755622279</v>
      </c>
      <c r="M25" s="39">
        <f>$L25-SUM($C$12:$C25)</f>
        <v>382.01167556222845</v>
      </c>
      <c r="N25" s="62">
        <f t="shared" si="11"/>
        <v>7.4111235541323817E-2</v>
      </c>
      <c r="Q25" s="10"/>
    </row>
    <row r="26" spans="1:17" ht="15.95" customHeight="1">
      <c r="A26" s="21" t="s">
        <v>34</v>
      </c>
      <c r="B26" s="39">
        <f t="shared" ref="B26:B35" si="12">B25</f>
        <v>106000</v>
      </c>
      <c r="C26" s="11">
        <f t="shared" si="9"/>
        <v>358.28000000000003</v>
      </c>
      <c r="D26" s="11">
        <f t="shared" si="10"/>
        <v>5130.8399999999992</v>
      </c>
      <c r="E26" s="11">
        <f t="shared" si="2"/>
        <v>26500</v>
      </c>
      <c r="F26" s="11">
        <f t="shared" si="0"/>
        <v>21369.16</v>
      </c>
      <c r="G26" s="12">
        <f t="shared" si="3"/>
        <v>4.1648463019700488</v>
      </c>
      <c r="H26" s="36">
        <f t="shared" si="1"/>
        <v>79669.600000000006</v>
      </c>
      <c r="I26" s="19">
        <f t="shared" si="4"/>
        <v>19917.400000000001</v>
      </c>
      <c r="J26" s="19">
        <f t="shared" si="5"/>
        <v>14786.560000000001</v>
      </c>
      <c r="K26" s="13">
        <f t="shared" si="6"/>
        <v>2.8818984805606886</v>
      </c>
      <c r="L26" s="39">
        <f t="shared" si="7"/>
        <v>5573.8474403897144</v>
      </c>
      <c r="M26" s="39">
        <f>$L26-SUM($C$12:$C26)</f>
        <v>443.00744038971516</v>
      </c>
      <c r="N26" s="62">
        <f t="shared" si="11"/>
        <v>7.947964940331069E-2</v>
      </c>
      <c r="Q26" s="10"/>
    </row>
    <row r="27" spans="1:17" ht="15.95" customHeight="1">
      <c r="A27" s="21" t="s">
        <v>35</v>
      </c>
      <c r="B27" s="39">
        <f t="shared" si="12"/>
        <v>106000</v>
      </c>
      <c r="C27" s="11">
        <f t="shared" si="9"/>
        <v>358.28000000000003</v>
      </c>
      <c r="D27" s="11">
        <f t="shared" si="10"/>
        <v>5489.119999999999</v>
      </c>
      <c r="E27" s="11">
        <f t="shared" si="2"/>
        <v>26500</v>
      </c>
      <c r="F27" s="11">
        <f t="shared" si="0"/>
        <v>21010.880000000001</v>
      </c>
      <c r="G27" s="12">
        <f t="shared" si="3"/>
        <v>3.8277319497478657</v>
      </c>
      <c r="H27" s="36">
        <f t="shared" si="1"/>
        <v>79669.600000000006</v>
      </c>
      <c r="I27" s="19">
        <f t="shared" si="4"/>
        <v>19917.400000000001</v>
      </c>
      <c r="J27" s="19">
        <f t="shared" si="5"/>
        <v>14428.280000000002</v>
      </c>
      <c r="K27" s="13">
        <f t="shared" si="6"/>
        <v>2.628523333430496</v>
      </c>
      <c r="L27" s="39">
        <f t="shared" si="7"/>
        <v>5998.0846351009923</v>
      </c>
      <c r="M27" s="39">
        <f>$L27-SUM($C$12:$C27)</f>
        <v>508.96463510099329</v>
      </c>
      <c r="N27" s="62">
        <f t="shared" si="11"/>
        <v>8.4854527080614237E-2</v>
      </c>
      <c r="Q27" s="10"/>
    </row>
    <row r="28" spans="1:17" ht="15.95" customHeight="1">
      <c r="A28" s="21" t="s">
        <v>36</v>
      </c>
      <c r="B28" s="39">
        <f t="shared" si="12"/>
        <v>106000</v>
      </c>
      <c r="C28" s="11">
        <f t="shared" si="9"/>
        <v>358.28000000000003</v>
      </c>
      <c r="D28" s="11">
        <f t="shared" si="10"/>
        <v>5847.3999999999987</v>
      </c>
      <c r="E28" s="11">
        <f t="shared" si="2"/>
        <v>26500</v>
      </c>
      <c r="F28" s="11">
        <f t="shared" si="0"/>
        <v>20652.600000000002</v>
      </c>
      <c r="G28" s="12">
        <f t="shared" si="3"/>
        <v>3.5319287204569565</v>
      </c>
      <c r="H28" s="36">
        <f t="shared" si="1"/>
        <v>79669.600000000006</v>
      </c>
      <c r="I28" s="19">
        <f t="shared" si="4"/>
        <v>19917.400000000001</v>
      </c>
      <c r="J28" s="19">
        <f t="shared" si="5"/>
        <v>14070.000000000004</v>
      </c>
      <c r="K28" s="13">
        <f t="shared" si="6"/>
        <v>2.4061976262954485</v>
      </c>
      <c r="L28" s="39">
        <f t="shared" si="7"/>
        <v>6427.3419699496872</v>
      </c>
      <c r="M28" s="39">
        <f>$L28-SUM($C$12:$C28)</f>
        <v>579.94196994968843</v>
      </c>
      <c r="N28" s="62">
        <f t="shared" si="11"/>
        <v>9.0230451819918983E-2</v>
      </c>
    </row>
    <row r="29" spans="1:17" ht="15.95" customHeight="1">
      <c r="A29" s="21" t="s">
        <v>37</v>
      </c>
      <c r="B29" s="39">
        <f t="shared" si="12"/>
        <v>106000</v>
      </c>
      <c r="C29" s="11">
        <f t="shared" si="9"/>
        <v>358.28000000000003</v>
      </c>
      <c r="D29" s="11">
        <f t="shared" si="10"/>
        <v>6205.6799999999985</v>
      </c>
      <c r="E29" s="11">
        <f t="shared" si="2"/>
        <v>26500</v>
      </c>
      <c r="F29" s="11">
        <f t="shared" si="0"/>
        <v>20294.32</v>
      </c>
      <c r="G29" s="12">
        <f t="shared" si="3"/>
        <v>3.2702814196026875</v>
      </c>
      <c r="H29" s="36">
        <f t="shared" si="1"/>
        <v>79669.600000000006</v>
      </c>
      <c r="I29" s="18">
        <f t="shared" si="4"/>
        <v>19917.400000000001</v>
      </c>
      <c r="J29" s="18">
        <f t="shared" si="5"/>
        <v>13711.720000000003</v>
      </c>
      <c r="K29" s="13">
        <f t="shared" si="6"/>
        <v>2.2095435149733804</v>
      </c>
      <c r="L29" s="39">
        <f t="shared" si="7"/>
        <v>6861.6788499274253</v>
      </c>
      <c r="M29" s="39">
        <f>$L29-SUM($C$12:$C29)</f>
        <v>655.99884992742682</v>
      </c>
      <c r="N29" s="62">
        <f t="shared" si="11"/>
        <v>9.560325749351635E-2</v>
      </c>
    </row>
    <row r="30" spans="1:17" ht="15.95" customHeight="1">
      <c r="A30" s="21" t="s">
        <v>38</v>
      </c>
      <c r="B30" s="39">
        <f t="shared" si="12"/>
        <v>106000</v>
      </c>
      <c r="C30" s="11">
        <f t="shared" si="9"/>
        <v>358.28000000000003</v>
      </c>
      <c r="D30" s="11">
        <f t="shared" si="10"/>
        <v>6563.9599999999982</v>
      </c>
      <c r="E30" s="11">
        <f t="shared" si="2"/>
        <v>26500</v>
      </c>
      <c r="F30" s="11">
        <f t="shared" si="0"/>
        <v>19936.04</v>
      </c>
      <c r="G30" s="14">
        <f t="shared" si="3"/>
        <v>3.0371970578736018</v>
      </c>
      <c r="H30" s="36">
        <f t="shared" si="1"/>
        <v>79669.600000000006</v>
      </c>
      <c r="I30" s="19">
        <f t="shared" si="4"/>
        <v>19917.400000000001</v>
      </c>
      <c r="J30" s="19">
        <f t="shared" si="5"/>
        <v>13353.440000000002</v>
      </c>
      <c r="K30" s="13">
        <f t="shared" si="6"/>
        <v>2.0343573086977993</v>
      </c>
      <c r="L30" s="39">
        <f t="shared" si="7"/>
        <v>7301.1553829848999</v>
      </c>
      <c r="M30" s="39">
        <f>$L30-SUM($C$12:$C30)</f>
        <v>737.1953829849017</v>
      </c>
      <c r="N30" s="62">
        <f t="shared" si="11"/>
        <v>0.10096968826371112</v>
      </c>
    </row>
    <row r="31" spans="1:17" ht="15.95" customHeight="1">
      <c r="A31" s="21" t="s">
        <v>39</v>
      </c>
      <c r="B31" s="39">
        <f t="shared" si="12"/>
        <v>106000</v>
      </c>
      <c r="C31" s="11">
        <f t="shared" si="9"/>
        <v>358.28000000000003</v>
      </c>
      <c r="D31" s="11">
        <f t="shared" si="10"/>
        <v>6922.239999999998</v>
      </c>
      <c r="E31" s="11">
        <f t="shared" si="2"/>
        <v>26500</v>
      </c>
      <c r="F31" s="11">
        <f t="shared" si="0"/>
        <v>19577.760000000002</v>
      </c>
      <c r="G31" s="14">
        <f t="shared" si="3"/>
        <v>2.8282405695266282</v>
      </c>
      <c r="H31" s="36">
        <f t="shared" si="1"/>
        <v>79669.600000000006</v>
      </c>
      <c r="I31" s="19">
        <f t="shared" si="4"/>
        <v>19917.400000000001</v>
      </c>
      <c r="J31" s="19">
        <f t="shared" si="5"/>
        <v>12995.160000000003</v>
      </c>
      <c r="K31" s="13">
        <f t="shared" si="6"/>
        <v>1.8773056120562142</v>
      </c>
      <c r="L31" s="39">
        <f t="shared" si="7"/>
        <v>7745.8323883502208</v>
      </c>
      <c r="M31" s="39">
        <f>$L31-SUM($C$12:$C31)</f>
        <v>823.59238835022279</v>
      </c>
      <c r="N31" s="62">
        <f t="shared" si="11"/>
        <v>0.10632716370017389</v>
      </c>
    </row>
    <row r="32" spans="1:17" ht="15.95" customHeight="1">
      <c r="A32" s="21" t="s">
        <v>40</v>
      </c>
      <c r="B32" s="39">
        <f t="shared" si="12"/>
        <v>106000</v>
      </c>
      <c r="C32" s="11">
        <f t="shared" si="9"/>
        <v>358.28000000000003</v>
      </c>
      <c r="D32" s="11">
        <f t="shared" si="10"/>
        <v>7280.5199999999977</v>
      </c>
      <c r="E32" s="11">
        <f t="shared" si="2"/>
        <v>26500</v>
      </c>
      <c r="F32" s="11">
        <f t="shared" si="0"/>
        <v>19219.480000000003</v>
      </c>
      <c r="G32" s="14">
        <f t="shared" si="3"/>
        <v>2.6398499008312606</v>
      </c>
      <c r="H32" s="36">
        <f t="shared" si="1"/>
        <v>79669.600000000006</v>
      </c>
      <c r="I32" s="19">
        <f t="shared" si="4"/>
        <v>19917.400000000001</v>
      </c>
      <c r="J32" s="19">
        <f t="shared" si="5"/>
        <v>12636.880000000005</v>
      </c>
      <c r="K32" s="13">
        <f t="shared" si="6"/>
        <v>1.7357111854647758</v>
      </c>
      <c r="L32" s="39">
        <f t="shared" si="7"/>
        <v>8195.771404945699</v>
      </c>
      <c r="M32" s="39">
        <f>$L32-SUM($C$12:$C32)</f>
        <v>915.25140494570132</v>
      </c>
      <c r="N32" s="62">
        <f t="shared" si="11"/>
        <v>0.11167361310167792</v>
      </c>
    </row>
    <row r="33" spans="1:14" ht="15.95" customHeight="1">
      <c r="A33" s="21" t="s">
        <v>41</v>
      </c>
      <c r="B33" s="39">
        <f t="shared" si="12"/>
        <v>106000</v>
      </c>
      <c r="C33" s="11">
        <f t="shared" si="9"/>
        <v>358.28000000000003</v>
      </c>
      <c r="D33" s="11">
        <f t="shared" si="10"/>
        <v>7638.7999999999975</v>
      </c>
      <c r="E33" s="11">
        <f t="shared" si="2"/>
        <v>26500</v>
      </c>
      <c r="F33" s="11">
        <f t="shared" si="0"/>
        <v>18861.200000000004</v>
      </c>
      <c r="G33" s="12">
        <f t="shared" si="3"/>
        <v>2.469131277163954</v>
      </c>
      <c r="H33" s="36">
        <f t="shared" si="1"/>
        <v>79669.600000000006</v>
      </c>
      <c r="I33" s="19">
        <f t="shared" si="4"/>
        <v>19917.400000000001</v>
      </c>
      <c r="J33" s="19">
        <f t="shared" si="5"/>
        <v>12278.600000000004</v>
      </c>
      <c r="K33" s="13">
        <f t="shared" si="6"/>
        <v>1.6073990679164276</v>
      </c>
      <c r="L33" s="39">
        <f t="shared" si="7"/>
        <v>8651.0346999042249</v>
      </c>
      <c r="M33" s="39">
        <f>$L33-SUM($C$12:$C33)</f>
        <v>1012.2346999042275</v>
      </c>
      <c r="N33" s="62">
        <f t="shared" si="11"/>
        <v>0.11700735634726259</v>
      </c>
    </row>
    <row r="34" spans="1:14" ht="15.95" customHeight="1">
      <c r="A34" s="21" t="s">
        <v>42</v>
      </c>
      <c r="B34" s="39">
        <f t="shared" si="12"/>
        <v>106000</v>
      </c>
      <c r="C34" s="11">
        <f t="shared" si="9"/>
        <v>358.28000000000003</v>
      </c>
      <c r="D34" s="11">
        <f t="shared" si="10"/>
        <v>7997.0799999999972</v>
      </c>
      <c r="E34" s="11">
        <f t="shared" si="2"/>
        <v>26500</v>
      </c>
      <c r="F34" s="11">
        <f t="shared" si="0"/>
        <v>18502.920000000002</v>
      </c>
      <c r="G34" s="12">
        <f t="shared" si="3"/>
        <v>2.3137095039689499</v>
      </c>
      <c r="H34" s="36">
        <f t="shared" si="1"/>
        <v>79669.600000000006</v>
      </c>
      <c r="I34" s="19">
        <f t="shared" si="4"/>
        <v>19917.400000000001</v>
      </c>
      <c r="J34" s="19">
        <f t="shared" si="5"/>
        <v>11920.320000000003</v>
      </c>
      <c r="K34" s="13">
        <f t="shared" si="6"/>
        <v>1.4905840631830627</v>
      </c>
      <c r="L34" s="39">
        <f t="shared" si="7"/>
        <v>9111.6852771864251</v>
      </c>
      <c r="M34" s="39">
        <f>$L34-SUM($C$12:$C34)</f>
        <v>1114.6052771864279</v>
      </c>
      <c r="N34" s="62">
        <f t="shared" si="11"/>
        <v>0.12232701671304917</v>
      </c>
    </row>
    <row r="35" spans="1:14" ht="15.95" customHeight="1">
      <c r="A35" s="17" t="s">
        <v>43</v>
      </c>
      <c r="B35" s="40">
        <f t="shared" si="12"/>
        <v>106000</v>
      </c>
      <c r="C35" s="15">
        <f t="shared" si="9"/>
        <v>358.28000000000003</v>
      </c>
      <c r="D35" s="15">
        <f t="shared" si="10"/>
        <v>8355.3599999999969</v>
      </c>
      <c r="E35" s="15">
        <f t="shared" si="2"/>
        <v>26500</v>
      </c>
      <c r="F35" s="15">
        <f t="shared" si="0"/>
        <v>18144.640000000003</v>
      </c>
      <c r="G35" s="16">
        <f t="shared" si="3"/>
        <v>2.1716167825204433</v>
      </c>
      <c r="H35" s="37">
        <f t="shared" si="1"/>
        <v>79669.600000000006</v>
      </c>
      <c r="I35" s="23">
        <f t="shared" si="4"/>
        <v>19917.400000000001</v>
      </c>
      <c r="J35" s="23">
        <f t="shared" si="5"/>
        <v>11562.040000000005</v>
      </c>
      <c r="K35" s="24">
        <f t="shared" si="6"/>
        <v>1.3837871737423653</v>
      </c>
      <c r="L35" s="58">
        <f t="shared" si="7"/>
        <v>9577.7868862997984</v>
      </c>
      <c r="M35" s="58">
        <f>$L35-SUM($C$12:$C35)</f>
        <v>1222.4268862998015</v>
      </c>
      <c r="N35" s="63">
        <f t="shared" si="11"/>
        <v>0.12763145607764337</v>
      </c>
    </row>
    <row r="36" spans="1:14" ht="15.95" customHeight="1">
      <c r="A36" s="21" t="s">
        <v>44</v>
      </c>
      <c r="B36" s="39">
        <f>B35*(1+$F$8)</f>
        <v>112360</v>
      </c>
      <c r="C36" s="11">
        <f>C35*(1+$F$8)</f>
        <v>379.77680000000004</v>
      </c>
      <c r="D36" s="11">
        <f t="shared" si="10"/>
        <v>8735.1367999999966</v>
      </c>
      <c r="E36" s="11">
        <f t="shared" si="2"/>
        <v>28090</v>
      </c>
      <c r="F36" s="11">
        <f t="shared" si="0"/>
        <v>19354.863200000003</v>
      </c>
      <c r="G36" s="12">
        <f t="shared" si="3"/>
        <v>2.215748149473745</v>
      </c>
      <c r="H36" s="36">
        <f t="shared" si="1"/>
        <v>84449.775999999998</v>
      </c>
      <c r="I36" s="19">
        <f t="shared" si="4"/>
        <v>21112.444</v>
      </c>
      <c r="J36" s="19">
        <f t="shared" si="5"/>
        <v>12377.307200000003</v>
      </c>
      <c r="K36" s="13">
        <f t="shared" si="6"/>
        <v>1.4169563091444668</v>
      </c>
      <c r="L36" s="39">
        <f t="shared" si="7"/>
        <v>10070.900831121013</v>
      </c>
      <c r="M36" s="39">
        <f>$L36-SUM($C$12:$C36)</f>
        <v>1335.7640311210162</v>
      </c>
      <c r="N36" s="62">
        <f t="shared" si="11"/>
        <v>0.13263600282839141</v>
      </c>
    </row>
    <row r="37" spans="1:14" ht="15.95" customHeight="1">
      <c r="A37" s="21" t="s">
        <v>45</v>
      </c>
      <c r="B37" s="39">
        <f>B36</f>
        <v>112360</v>
      </c>
      <c r="C37" s="11">
        <f t="shared" si="9"/>
        <v>379.77680000000004</v>
      </c>
      <c r="D37" s="11">
        <f t="shared" si="10"/>
        <v>9114.9135999999962</v>
      </c>
      <c r="E37" s="11">
        <f t="shared" si="2"/>
        <v>28090</v>
      </c>
      <c r="F37" s="11">
        <f t="shared" si="0"/>
        <v>18975.086400000004</v>
      </c>
      <c r="G37" s="12">
        <f t="shared" si="3"/>
        <v>2.0817626181338693</v>
      </c>
      <c r="H37" s="36">
        <f t="shared" si="1"/>
        <v>84449.775999999998</v>
      </c>
      <c r="I37" s="19">
        <f t="shared" si="4"/>
        <v>21112.444</v>
      </c>
      <c r="J37" s="19">
        <f t="shared" si="5"/>
        <v>11997.530400000003</v>
      </c>
      <c r="K37" s="13">
        <f t="shared" si="6"/>
        <v>1.316252783789416</v>
      </c>
      <c r="L37" s="39">
        <f t="shared" si="7"/>
        <v>10569.849957622611</v>
      </c>
      <c r="M37" s="39">
        <f>$L37-SUM($C$12:$C37)</f>
        <v>1454.9363576226151</v>
      </c>
      <c r="N37" s="62">
        <f t="shared" si="11"/>
        <v>0.13764966990599192</v>
      </c>
    </row>
    <row r="38" spans="1:14" ht="15.95" customHeight="1">
      <c r="A38" s="21" t="s">
        <v>46</v>
      </c>
      <c r="B38" s="39">
        <f t="shared" ref="B38:B47" si="13">B37</f>
        <v>112360</v>
      </c>
      <c r="C38" s="11">
        <f t="shared" si="9"/>
        <v>379.77680000000004</v>
      </c>
      <c r="D38" s="11">
        <f t="shared" si="10"/>
        <v>9494.6903999999959</v>
      </c>
      <c r="E38" s="11">
        <f t="shared" si="2"/>
        <v>28090</v>
      </c>
      <c r="F38" s="11">
        <f t="shared" si="0"/>
        <v>18595.309600000004</v>
      </c>
      <c r="G38" s="12">
        <f t="shared" si="3"/>
        <v>1.9584956240384639</v>
      </c>
      <c r="H38" s="36">
        <f t="shared" si="1"/>
        <v>84449.775999999998</v>
      </c>
      <c r="I38" s="19">
        <f t="shared" si="4"/>
        <v>21112.444</v>
      </c>
      <c r="J38" s="19">
        <f t="shared" si="5"/>
        <v>11617.753600000004</v>
      </c>
      <c r="K38" s="13">
        <f t="shared" si="6"/>
        <v>1.2236053110273093</v>
      </c>
      <c r="L38" s="39">
        <f t="shared" si="7"/>
        <v>11074.703315454479</v>
      </c>
      <c r="M38" s="39">
        <f>$L38-SUM($C$12:$C38)</f>
        <v>1580.0129154544829</v>
      </c>
      <c r="N38" s="62">
        <f t="shared" si="11"/>
        <v>0.14266864496944251</v>
      </c>
    </row>
    <row r="39" spans="1:14" ht="15.95" customHeight="1">
      <c r="A39" s="21" t="s">
        <v>47</v>
      </c>
      <c r="B39" s="39">
        <f t="shared" si="13"/>
        <v>112360</v>
      </c>
      <c r="C39" s="11">
        <f t="shared" si="9"/>
        <v>379.77680000000004</v>
      </c>
      <c r="D39" s="11">
        <f t="shared" si="10"/>
        <v>9874.4671999999955</v>
      </c>
      <c r="E39" s="11">
        <f t="shared" si="2"/>
        <v>28090</v>
      </c>
      <c r="F39" s="11">
        <f t="shared" si="0"/>
        <v>18215.532800000004</v>
      </c>
      <c r="G39" s="12">
        <f t="shared" si="3"/>
        <v>1.8447104467570679</v>
      </c>
      <c r="H39" s="36">
        <f t="shared" si="1"/>
        <v>84449.775999999998</v>
      </c>
      <c r="I39" s="19">
        <f t="shared" si="4"/>
        <v>21112.444</v>
      </c>
      <c r="J39" s="19">
        <f t="shared" si="5"/>
        <v>11237.976800000004</v>
      </c>
      <c r="K39" s="13">
        <f t="shared" si="6"/>
        <v>1.1380843717826121</v>
      </c>
      <c r="L39" s="39">
        <f t="shared" si="7"/>
        <v>11585.530771354024</v>
      </c>
      <c r="M39" s="39">
        <f>$L39-SUM($C$12:$C39)</f>
        <v>1711.0635713540287</v>
      </c>
      <c r="N39" s="62">
        <f t="shared" si="11"/>
        <v>0.14768970063803588</v>
      </c>
    </row>
    <row r="40" spans="1:14" ht="15.95" customHeight="1">
      <c r="A40" s="21" t="s">
        <v>48</v>
      </c>
      <c r="B40" s="39">
        <f t="shared" si="13"/>
        <v>112360</v>
      </c>
      <c r="C40" s="11">
        <f t="shared" si="9"/>
        <v>379.77680000000004</v>
      </c>
      <c r="D40" s="11">
        <f t="shared" si="10"/>
        <v>10254.243999999995</v>
      </c>
      <c r="E40" s="11">
        <f t="shared" si="2"/>
        <v>28090</v>
      </c>
      <c r="F40" s="11">
        <f t="shared" si="0"/>
        <v>17835.756000000005</v>
      </c>
      <c r="G40" s="12">
        <f t="shared" si="3"/>
        <v>1.7393535788693943</v>
      </c>
      <c r="H40" s="36">
        <f t="shared" si="1"/>
        <v>84449.775999999998</v>
      </c>
      <c r="I40" s="18">
        <f t="shared" si="4"/>
        <v>21112.444</v>
      </c>
      <c r="J40" s="18">
        <f t="shared" si="5"/>
        <v>10858.200000000004</v>
      </c>
      <c r="K40" s="13">
        <f t="shared" si="6"/>
        <v>1.0588981498782366</v>
      </c>
      <c r="L40" s="39">
        <f t="shared" si="7"/>
        <v>12102.403018815046</v>
      </c>
      <c r="M40" s="39">
        <f>$L40-SUM($C$12:$C40)</f>
        <v>1848.1590188150512</v>
      </c>
      <c r="N40" s="62">
        <f t="shared" si="11"/>
        <v>0.15271008707459202</v>
      </c>
    </row>
    <row r="41" spans="1:14" ht="15.95" customHeight="1">
      <c r="A41" s="21" t="s">
        <v>49</v>
      </c>
      <c r="B41" s="39">
        <f t="shared" si="13"/>
        <v>112360</v>
      </c>
      <c r="C41" s="11">
        <f t="shared" si="9"/>
        <v>379.77680000000004</v>
      </c>
      <c r="D41" s="11">
        <f t="shared" si="10"/>
        <v>10634.020799999995</v>
      </c>
      <c r="E41" s="11">
        <f t="shared" si="2"/>
        <v>28090</v>
      </c>
      <c r="F41" s="11">
        <f t="shared" si="0"/>
        <v>17455.979200000005</v>
      </c>
      <c r="G41" s="14">
        <f t="shared" si="3"/>
        <v>1.641522010188283</v>
      </c>
      <c r="H41" s="36">
        <f t="shared" si="1"/>
        <v>84449.775999999998</v>
      </c>
      <c r="I41" s="19">
        <f t="shared" si="4"/>
        <v>21112.444</v>
      </c>
      <c r="J41" s="19">
        <f t="shared" si="5"/>
        <v>10478.423200000005</v>
      </c>
      <c r="K41" s="13">
        <f t="shared" si="6"/>
        <v>0.9853679428575135</v>
      </c>
      <c r="L41" s="39">
        <f t="shared" si="7"/>
        <v>12625.391587871025</v>
      </c>
      <c r="M41" s="39">
        <f>$L41-SUM($C$12:$C41)</f>
        <v>1991.3707878710302</v>
      </c>
      <c r="N41" s="62">
        <f t="shared" si="11"/>
        <v>0.15772744742302508</v>
      </c>
    </row>
    <row r="42" spans="1:14" ht="15.95" customHeight="1">
      <c r="A42" s="21" t="s">
        <v>50</v>
      </c>
      <c r="B42" s="39">
        <f t="shared" si="13"/>
        <v>112360</v>
      </c>
      <c r="C42" s="11">
        <f t="shared" si="9"/>
        <v>379.77680000000004</v>
      </c>
      <c r="D42" s="11">
        <f t="shared" si="10"/>
        <v>11013.797599999994</v>
      </c>
      <c r="E42" s="11">
        <f t="shared" si="2"/>
        <v>28090</v>
      </c>
      <c r="F42" s="11">
        <f t="shared" si="0"/>
        <v>17076.202400000006</v>
      </c>
      <c r="G42" s="14">
        <f t="shared" si="3"/>
        <v>1.5504372805979305</v>
      </c>
      <c r="H42" s="36">
        <f t="shared" si="1"/>
        <v>84449.775999999998</v>
      </c>
      <c r="I42" s="19">
        <f t="shared" si="4"/>
        <v>21112.444</v>
      </c>
      <c r="J42" s="19">
        <f t="shared" si="5"/>
        <v>10098.646400000005</v>
      </c>
      <c r="K42" s="13">
        <f t="shared" si="6"/>
        <v>0.91690866009740457</v>
      </c>
      <c r="L42" s="39">
        <f t="shared" si="7"/>
        <v>13154.568854994166</v>
      </c>
      <c r="M42" s="39">
        <f>$L42-SUM($C$12:$C42)</f>
        <v>2140.7712549941716</v>
      </c>
      <c r="N42" s="62">
        <f t="shared" si="11"/>
        <v>0.16273975062142931</v>
      </c>
    </row>
    <row r="43" spans="1:14" ht="15.95" customHeight="1">
      <c r="A43" s="21" t="s">
        <v>51</v>
      </c>
      <c r="B43" s="39">
        <f t="shared" si="13"/>
        <v>112360</v>
      </c>
      <c r="C43" s="11">
        <f t="shared" si="9"/>
        <v>379.77680000000004</v>
      </c>
      <c r="D43" s="11">
        <f t="shared" si="10"/>
        <v>11393.574399999994</v>
      </c>
      <c r="E43" s="11">
        <f t="shared" si="2"/>
        <v>28090</v>
      </c>
      <c r="F43" s="11">
        <f t="shared" si="0"/>
        <v>16696.425600000006</v>
      </c>
      <c r="G43" s="12">
        <f t="shared" si="3"/>
        <v>1.465424722201315</v>
      </c>
      <c r="H43" s="36">
        <f t="shared" si="1"/>
        <v>84449.775999999998</v>
      </c>
      <c r="I43" s="19">
        <f t="shared" si="4"/>
        <v>21112.444</v>
      </c>
      <c r="J43" s="19">
        <f t="shared" si="5"/>
        <v>9718.8696000000054</v>
      </c>
      <c r="K43" s="13">
        <f t="shared" si="6"/>
        <v>0.85301322120650835</v>
      </c>
      <c r="L43" s="39">
        <f t="shared" si="7"/>
        <v>13690.008053111596</v>
      </c>
      <c r="M43" s="39">
        <f>$L43-SUM($C$12:$C43)</f>
        <v>2296.4336531116023</v>
      </c>
      <c r="N43" s="62">
        <f t="shared" si="11"/>
        <v>0.16774523756322018</v>
      </c>
    </row>
    <row r="44" spans="1:14" ht="15.95" customHeight="1">
      <c r="A44" s="21" t="s">
        <v>52</v>
      </c>
      <c r="B44" s="39">
        <f t="shared" si="13"/>
        <v>112360</v>
      </c>
      <c r="C44" s="11">
        <f t="shared" si="9"/>
        <v>379.77680000000004</v>
      </c>
      <c r="D44" s="11">
        <f t="shared" si="10"/>
        <v>11773.351199999994</v>
      </c>
      <c r="E44" s="11">
        <f t="shared" si="2"/>
        <v>28090</v>
      </c>
      <c r="F44" s="11">
        <f t="shared" si="0"/>
        <v>16316.648800000006</v>
      </c>
      <c r="G44" s="12">
        <f t="shared" si="3"/>
        <v>1.3858967190242328</v>
      </c>
      <c r="H44" s="36">
        <f t="shared" si="1"/>
        <v>84449.775999999998</v>
      </c>
      <c r="I44" s="19">
        <f t="shared" si="4"/>
        <v>21112.444</v>
      </c>
      <c r="J44" s="19">
        <f t="shared" si="5"/>
        <v>9339.0928000000058</v>
      </c>
      <c r="K44" s="13">
        <f t="shared" si="6"/>
        <v>0.79323997401861335</v>
      </c>
      <c r="L44" s="39">
        <f t="shared" si="7"/>
        <v>14231.783281740083</v>
      </c>
      <c r="M44" s="39">
        <f>$L44-SUM($C$12:$C44)</f>
        <v>2458.4320817400894</v>
      </c>
      <c r="N44" s="62">
        <f t="shared" si="11"/>
        <v>0.17274237761154998</v>
      </c>
    </row>
    <row r="45" spans="1:14" ht="15.95" customHeight="1">
      <c r="A45" s="21" t="s">
        <v>53</v>
      </c>
      <c r="B45" s="39">
        <f t="shared" si="13"/>
        <v>112360</v>
      </c>
      <c r="C45" s="11">
        <f t="shared" si="9"/>
        <v>379.77680000000004</v>
      </c>
      <c r="D45" s="11">
        <f t="shared" si="10"/>
        <v>12153.127999999993</v>
      </c>
      <c r="E45" s="11">
        <f t="shared" si="2"/>
        <v>28090</v>
      </c>
      <c r="F45" s="11">
        <f t="shared" si="0"/>
        <v>15936.872000000007</v>
      </c>
      <c r="G45" s="12">
        <f t="shared" si="3"/>
        <v>1.3113391054549919</v>
      </c>
      <c r="H45" s="36">
        <f t="shared" si="1"/>
        <v>84449.775999999998</v>
      </c>
      <c r="I45" s="19">
        <f t="shared" si="4"/>
        <v>21112.444</v>
      </c>
      <c r="J45" s="19">
        <f t="shared" si="5"/>
        <v>8959.3160000000062</v>
      </c>
      <c r="K45" s="13">
        <f t="shared" si="6"/>
        <v>0.73720247165997188</v>
      </c>
      <c r="L45" s="39">
        <f t="shared" si="7"/>
        <v>14779.969517240674</v>
      </c>
      <c r="M45" s="39">
        <f>$L45-SUM($C$12:$C45)</f>
        <v>2626.8415172406803</v>
      </c>
      <c r="N45" s="62">
        <f t="shared" si="11"/>
        <v>0.17772983321626598</v>
      </c>
    </row>
    <row r="46" spans="1:14" ht="15.95" customHeight="1">
      <c r="A46" s="21" t="s">
        <v>54</v>
      </c>
      <c r="B46" s="39">
        <f t="shared" si="13"/>
        <v>112360</v>
      </c>
      <c r="C46" s="11">
        <f t="shared" si="9"/>
        <v>379.77680000000004</v>
      </c>
      <c r="D46" s="11">
        <f t="shared" si="10"/>
        <v>12532.904799999993</v>
      </c>
      <c r="E46" s="11">
        <f t="shared" si="2"/>
        <v>28090</v>
      </c>
      <c r="F46" s="11">
        <f t="shared" si="0"/>
        <v>15557.095200000007</v>
      </c>
      <c r="G46" s="12">
        <f t="shared" si="3"/>
        <v>1.2413000376417138</v>
      </c>
      <c r="H46" s="36">
        <f t="shared" si="1"/>
        <v>84449.775999999998</v>
      </c>
      <c r="I46" s="18">
        <f t="shared" si="4"/>
        <v>21112.444</v>
      </c>
      <c r="J46" s="18">
        <f t="shared" si="5"/>
        <v>8579.5392000000065</v>
      </c>
      <c r="K46" s="13">
        <f t="shared" si="6"/>
        <v>0.68456110829151207</v>
      </c>
      <c r="L46" s="39">
        <f t="shared" si="7"/>
        <v>15334.642623194688</v>
      </c>
      <c r="M46" s="39">
        <f>$L46-SUM($C$12:$C46)</f>
        <v>2801.737823194695</v>
      </c>
      <c r="N46" s="62">
        <f t="shared" si="11"/>
        <v>0.182706430925027</v>
      </c>
    </row>
    <row r="47" spans="1:14" ht="15.95" customHeight="1">
      <c r="A47" s="17" t="s">
        <v>55</v>
      </c>
      <c r="B47" s="40">
        <f t="shared" si="13"/>
        <v>112360</v>
      </c>
      <c r="C47" s="15">
        <f t="shared" si="9"/>
        <v>379.77680000000004</v>
      </c>
      <c r="D47" s="15">
        <f t="shared" si="10"/>
        <v>12912.681599999993</v>
      </c>
      <c r="E47" s="15">
        <f t="shared" si="2"/>
        <v>28090</v>
      </c>
      <c r="F47" s="15">
        <f t="shared" si="0"/>
        <v>15177.318400000007</v>
      </c>
      <c r="G47" s="16">
        <f t="shared" si="3"/>
        <v>1.1753808287195757</v>
      </c>
      <c r="H47" s="37">
        <f t="shared" si="1"/>
        <v>84449.775999999998</v>
      </c>
      <c r="I47" s="23">
        <f t="shared" si="4"/>
        <v>21112.444</v>
      </c>
      <c r="J47" s="23">
        <f t="shared" si="5"/>
        <v>8199.7624000000069</v>
      </c>
      <c r="K47" s="24">
        <f t="shared" si="6"/>
        <v>0.63501623086563297</v>
      </c>
      <c r="L47" s="58">
        <f t="shared" si="7"/>
        <v>15895.879360902492</v>
      </c>
      <c r="M47" s="58">
        <f>$L47-SUM($C$12:$C47)</f>
        <v>2983.1977609024998</v>
      </c>
      <c r="N47" s="63">
        <f t="shared" si="11"/>
        <v>0.1876711374798159</v>
      </c>
    </row>
    <row r="48" spans="1:14" ht="15.95" customHeight="1">
      <c r="A48" s="21" t="s">
        <v>56</v>
      </c>
      <c r="B48" s="39">
        <f>B47*(1+$F$8)</f>
        <v>119101.6</v>
      </c>
      <c r="C48" s="11">
        <f>C47*(1+$F$8)</f>
        <v>402.56340800000004</v>
      </c>
      <c r="D48" s="11">
        <f t="shared" si="10"/>
        <v>13315.245007999993</v>
      </c>
      <c r="E48" s="11">
        <f t="shared" si="2"/>
        <v>29775.4</v>
      </c>
      <c r="F48" s="11">
        <f t="shared" si="0"/>
        <v>16460.154992000011</v>
      </c>
      <c r="G48" s="12">
        <f t="shared" si="3"/>
        <v>1.2361886681101633</v>
      </c>
      <c r="H48" s="36">
        <f t="shared" si="1"/>
        <v>89516.762560000003</v>
      </c>
      <c r="I48" s="19">
        <f t="shared" si="4"/>
        <v>22379.190640000001</v>
      </c>
      <c r="J48" s="19">
        <f t="shared" si="5"/>
        <v>9063.9456320000081</v>
      </c>
      <c r="K48" s="13">
        <f t="shared" si="6"/>
        <v>0.68071940295159861</v>
      </c>
      <c r="L48" s="39">
        <f t="shared" si="7"/>
        <v>16486.544008006505</v>
      </c>
      <c r="M48" s="39">
        <f>$L48-SUM($C$12:$C48)</f>
        <v>3171.2990000065129</v>
      </c>
      <c r="N48" s="62">
        <f t="shared" si="11"/>
        <v>0.19235680919338868</v>
      </c>
    </row>
    <row r="49" spans="1:14" ht="15.95" customHeight="1">
      <c r="A49" s="21" t="s">
        <v>57</v>
      </c>
      <c r="B49" s="39">
        <f>B48</f>
        <v>119101.6</v>
      </c>
      <c r="C49" s="11">
        <f t="shared" si="9"/>
        <v>402.56340800000004</v>
      </c>
      <c r="D49" s="11">
        <f t="shared" si="10"/>
        <v>13717.808415999993</v>
      </c>
      <c r="E49" s="11">
        <f t="shared" si="2"/>
        <v>29775.4</v>
      </c>
      <c r="F49" s="11">
        <f t="shared" si="0"/>
        <v>16057.591584000009</v>
      </c>
      <c r="G49" s="12">
        <f t="shared" si="3"/>
        <v>1.1705653772851188</v>
      </c>
      <c r="H49" s="36">
        <f t="shared" si="1"/>
        <v>89516.762560000003</v>
      </c>
      <c r="I49" s="19">
        <f t="shared" si="4"/>
        <v>22379.190640000001</v>
      </c>
      <c r="J49" s="19">
        <f t="shared" si="5"/>
        <v>8661.3822240000081</v>
      </c>
      <c r="K49" s="13">
        <f t="shared" si="6"/>
        <v>0.63139693756749526</v>
      </c>
      <c r="L49" s="39">
        <f t="shared" si="7"/>
        <v>17084.198186767917</v>
      </c>
      <c r="M49" s="39">
        <f>$L49-SUM($C$12:$C49)</f>
        <v>3366.3897707679243</v>
      </c>
      <c r="N49" s="62">
        <f t="shared" si="11"/>
        <v>0.19704698657589131</v>
      </c>
    </row>
    <row r="50" spans="1:14" ht="15.95" customHeight="1">
      <c r="A50" s="21" t="s">
        <v>58</v>
      </c>
      <c r="B50" s="39">
        <f t="shared" ref="B50:B59" si="14">B49</f>
        <v>119101.6</v>
      </c>
      <c r="C50" s="11">
        <f t="shared" si="9"/>
        <v>402.56340800000004</v>
      </c>
      <c r="D50" s="11">
        <f t="shared" si="10"/>
        <v>14120.371823999993</v>
      </c>
      <c r="E50" s="11">
        <f t="shared" si="2"/>
        <v>29775.4</v>
      </c>
      <c r="F50" s="11">
        <f t="shared" si="0"/>
        <v>15655.028176000009</v>
      </c>
      <c r="G50" s="12">
        <f t="shared" si="3"/>
        <v>1.1086838484941031</v>
      </c>
      <c r="H50" s="36">
        <f t="shared" si="1"/>
        <v>89516.762560000003</v>
      </c>
      <c r="I50" s="19">
        <f t="shared" si="4"/>
        <v>22379.190640000001</v>
      </c>
      <c r="J50" s="19">
        <f t="shared" si="5"/>
        <v>8258.8188160000082</v>
      </c>
      <c r="K50" s="13">
        <f t="shared" si="6"/>
        <v>0.58488678052816778</v>
      </c>
      <c r="L50" s="39">
        <f t="shared" si="7"/>
        <v>17688.924606644672</v>
      </c>
      <c r="M50" s="39">
        <f>$L50-SUM($C$12:$C50)</f>
        <v>3568.5527826446796</v>
      </c>
      <c r="N50" s="62">
        <f t="shared" si="11"/>
        <v>0.20173938563253233</v>
      </c>
    </row>
    <row r="51" spans="1:14" ht="15.95" customHeight="1">
      <c r="A51" s="21" t="s">
        <v>59</v>
      </c>
      <c r="B51" s="39">
        <f t="shared" si="14"/>
        <v>119101.6</v>
      </c>
      <c r="C51" s="11">
        <f t="shared" si="9"/>
        <v>402.56340800000004</v>
      </c>
      <c r="D51" s="11">
        <f t="shared" si="10"/>
        <v>14522.935231999993</v>
      </c>
      <c r="E51" s="11">
        <f t="shared" si="2"/>
        <v>29775.4</v>
      </c>
      <c r="F51" s="11">
        <f t="shared" si="0"/>
        <v>15252.464768000009</v>
      </c>
      <c r="G51" s="14">
        <f t="shared" si="3"/>
        <v>1.0502329263572396</v>
      </c>
      <c r="H51" s="36">
        <f t="shared" si="1"/>
        <v>89516.762560000003</v>
      </c>
      <c r="I51" s="18">
        <f t="shared" si="4"/>
        <v>22379.190640000001</v>
      </c>
      <c r="J51" s="18">
        <f t="shared" si="5"/>
        <v>7856.2554080000082</v>
      </c>
      <c r="K51" s="13">
        <f t="shared" si="6"/>
        <v>0.54095506745010125</v>
      </c>
      <c r="L51" s="39">
        <f t="shared" si="7"/>
        <v>18300.806955823304</v>
      </c>
      <c r="M51" s="39">
        <f>$L51-SUM($C$12:$C51)</f>
        <v>3777.8717238233112</v>
      </c>
      <c r="N51" s="62">
        <f t="shared" si="11"/>
        <v>0.20643197499120086</v>
      </c>
    </row>
    <row r="52" spans="1:14" ht="15.95" customHeight="1">
      <c r="A52" s="21" t="s">
        <v>60</v>
      </c>
      <c r="B52" s="39">
        <f t="shared" si="14"/>
        <v>119101.6</v>
      </c>
      <c r="C52" s="11">
        <f t="shared" si="9"/>
        <v>402.56340800000004</v>
      </c>
      <c r="D52" s="11">
        <f t="shared" si="10"/>
        <v>14925.498639999993</v>
      </c>
      <c r="E52" s="11">
        <f t="shared" si="2"/>
        <v>29775.4</v>
      </c>
      <c r="F52" s="11">
        <f t="shared" si="0"/>
        <v>14849.901360000009</v>
      </c>
      <c r="G52" s="14">
        <f t="shared" si="3"/>
        <v>0.99493502483076945</v>
      </c>
      <c r="H52" s="36">
        <f t="shared" si="1"/>
        <v>89516.762560000003</v>
      </c>
      <c r="I52" s="19">
        <f t="shared" si="4"/>
        <v>22379.190640000001</v>
      </c>
      <c r="J52" s="19">
        <f t="shared" si="5"/>
        <v>7453.6920000000082</v>
      </c>
      <c r="K52" s="13">
        <f t="shared" si="6"/>
        <v>0.49939316466280631</v>
      </c>
      <c r="L52" s="39">
        <f t="shared" si="7"/>
        <v>18919.929912800548</v>
      </c>
      <c r="M52" s="39">
        <f>$L52-SUM($C$12:$C52)</f>
        <v>3994.4312728005552</v>
      </c>
      <c r="N52" s="62">
        <f t="shared" si="11"/>
        <v>0.21112294237929846</v>
      </c>
    </row>
    <row r="53" spans="1:14" ht="15.95" customHeight="1">
      <c r="A53" s="21" t="s">
        <v>61</v>
      </c>
      <c r="B53" s="39">
        <f t="shared" si="14"/>
        <v>119101.6</v>
      </c>
      <c r="C53" s="11">
        <f t="shared" si="9"/>
        <v>402.56340800000004</v>
      </c>
      <c r="D53" s="11">
        <f t="shared" si="10"/>
        <v>15328.062047999993</v>
      </c>
      <c r="E53" s="11">
        <f t="shared" si="2"/>
        <v>29775.4</v>
      </c>
      <c r="F53" s="11">
        <f t="shared" si="0"/>
        <v>14447.337952000009</v>
      </c>
      <c r="G53" s="12">
        <f t="shared" si="3"/>
        <v>0.94254171902214468</v>
      </c>
      <c r="H53" s="36">
        <f t="shared" si="1"/>
        <v>89516.762560000003</v>
      </c>
      <c r="I53" s="19">
        <f t="shared" si="4"/>
        <v>22379.190640000001</v>
      </c>
      <c r="J53" s="19">
        <f t="shared" si="5"/>
        <v>7051.1285920000082</v>
      </c>
      <c r="K53" s="13">
        <f t="shared" si="6"/>
        <v>0.46001435601704393</v>
      </c>
      <c r="L53" s="39">
        <f t="shared" si="7"/>
        <v>19546.379158102023</v>
      </c>
      <c r="M53" s="39">
        <f>$L53-SUM($C$12:$C53)</f>
        <v>4218.3171101020307</v>
      </c>
      <c r="N53" s="62">
        <f t="shared" si="11"/>
        <v>0.21581066631225804</v>
      </c>
    </row>
    <row r="54" spans="1:14" ht="15.95" customHeight="1">
      <c r="A54" s="21" t="s">
        <v>62</v>
      </c>
      <c r="B54" s="39">
        <f t="shared" si="14"/>
        <v>119101.6</v>
      </c>
      <c r="C54" s="11">
        <f t="shared" si="9"/>
        <v>402.56340800000004</v>
      </c>
      <c r="D54" s="11">
        <f t="shared" si="10"/>
        <v>15730.625455999992</v>
      </c>
      <c r="E54" s="11">
        <f t="shared" si="2"/>
        <v>29775.4</v>
      </c>
      <c r="F54" s="11">
        <f t="shared" si="0"/>
        <v>14044.774544000009</v>
      </c>
      <c r="G54" s="12">
        <f t="shared" si="3"/>
        <v>0.89283001386591632</v>
      </c>
      <c r="H54" s="36">
        <f t="shared" si="1"/>
        <v>89516.762560000003</v>
      </c>
      <c r="I54" s="19">
        <f t="shared" si="4"/>
        <v>22379.190640000001</v>
      </c>
      <c r="J54" s="19">
        <f t="shared" si="5"/>
        <v>6648.5651840000082</v>
      </c>
      <c r="K54" s="13">
        <f t="shared" si="6"/>
        <v>0.42265103842162266</v>
      </c>
      <c r="L54" s="39">
        <f t="shared" si="7"/>
        <v>20180.241386139565</v>
      </c>
      <c r="M54" s="39">
        <f>$L54-SUM($C$12:$C54)</f>
        <v>4449.6159301395728</v>
      </c>
      <c r="N54" s="62">
        <f t="shared" si="11"/>
        <v>0.22049369207227179</v>
      </c>
    </row>
    <row r="55" spans="1:14" ht="15.95" customHeight="1">
      <c r="A55" s="21" t="s">
        <v>63</v>
      </c>
      <c r="B55" s="39">
        <f t="shared" si="14"/>
        <v>119101.6</v>
      </c>
      <c r="C55" s="11">
        <f t="shared" si="9"/>
        <v>402.56340800000004</v>
      </c>
      <c r="D55" s="11">
        <f t="shared" si="10"/>
        <v>16133.188863999992</v>
      </c>
      <c r="E55" s="11">
        <f t="shared" si="2"/>
        <v>29775.4</v>
      </c>
      <c r="F55" s="11">
        <f t="shared" si="0"/>
        <v>13642.211136000009</v>
      </c>
      <c r="G55" s="12">
        <f t="shared" si="3"/>
        <v>0.84559917143482932</v>
      </c>
      <c r="H55" s="36">
        <f t="shared" si="1"/>
        <v>89516.762560000003</v>
      </c>
      <c r="I55" s="19">
        <f t="shared" si="4"/>
        <v>22379.190640000001</v>
      </c>
      <c r="J55" s="19">
        <f t="shared" si="5"/>
        <v>6246.0017760000082</v>
      </c>
      <c r="K55" s="13">
        <f t="shared" si="6"/>
        <v>0.3871523372504177</v>
      </c>
      <c r="L55" s="39">
        <f t="shared" si="7"/>
        <v>20821.604317208887</v>
      </c>
      <c r="M55" s="39">
        <f>$L55-SUM($C$12:$C55)</f>
        <v>4688.4154532088942</v>
      </c>
      <c r="N55" s="62">
        <f t="shared" si="11"/>
        <v>0.22517071123736401</v>
      </c>
    </row>
    <row r="56" spans="1:14" ht="15.95" customHeight="1">
      <c r="A56" s="21" t="s">
        <v>64</v>
      </c>
      <c r="B56" s="39">
        <f t="shared" si="14"/>
        <v>119101.6</v>
      </c>
      <c r="C56" s="11">
        <f t="shared" si="9"/>
        <v>402.56340800000004</v>
      </c>
      <c r="D56" s="11">
        <f t="shared" si="10"/>
        <v>16535.752271999994</v>
      </c>
      <c r="E56" s="11">
        <f t="shared" si="2"/>
        <v>29775.4</v>
      </c>
      <c r="F56" s="11">
        <f t="shared" si="0"/>
        <v>13239.647728000007</v>
      </c>
      <c r="G56" s="12">
        <f t="shared" si="3"/>
        <v>0.80066800168618368</v>
      </c>
      <c r="H56" s="36">
        <f t="shared" si="1"/>
        <v>89516.762560000003</v>
      </c>
      <c r="I56" s="19">
        <f t="shared" si="4"/>
        <v>22379.190640000001</v>
      </c>
      <c r="J56" s="19">
        <f t="shared" si="5"/>
        <v>5843.4383680000064</v>
      </c>
      <c r="K56" s="13">
        <f t="shared" si="6"/>
        <v>0.35338207006733563</v>
      </c>
      <c r="L56" s="39">
        <f t="shared" si="7"/>
        <v>21470.556709629192</v>
      </c>
      <c r="M56" s="39">
        <f>$L56-SUM($C$12:$C56)</f>
        <v>4934.8044376291982</v>
      </c>
      <c r="N56" s="62">
        <f t="shared" si="11"/>
        <v>0.22984054416325495</v>
      </c>
    </row>
    <row r="57" spans="1:14" ht="15.95" customHeight="1">
      <c r="A57" s="21" t="s">
        <v>65</v>
      </c>
      <c r="B57" s="39">
        <f t="shared" si="14"/>
        <v>119101.6</v>
      </c>
      <c r="C57" s="11">
        <f t="shared" si="9"/>
        <v>402.56340800000004</v>
      </c>
      <c r="D57" s="11">
        <f t="shared" si="10"/>
        <v>16938.315679999996</v>
      </c>
      <c r="E57" s="11">
        <f t="shared" si="2"/>
        <v>29775.4</v>
      </c>
      <c r="F57" s="11">
        <f t="shared" si="0"/>
        <v>12837.084320000005</v>
      </c>
      <c r="G57" s="12">
        <f t="shared" si="3"/>
        <v>0.75787253954402678</v>
      </c>
      <c r="H57" s="36">
        <f t="shared" si="1"/>
        <v>89516.762560000003</v>
      </c>
      <c r="I57" s="18">
        <f t="shared" si="4"/>
        <v>22379.190640000001</v>
      </c>
      <c r="J57" s="18">
        <f t="shared" si="5"/>
        <v>5440.8749600000046</v>
      </c>
      <c r="K57" s="13">
        <f t="shared" si="6"/>
        <v>0.3212170007212905</v>
      </c>
      <c r="L57" s="39">
        <f t="shared" si="7"/>
        <v>22127.188372026474</v>
      </c>
      <c r="M57" s="39">
        <f>$L57-SUM($C$12:$C57)</f>
        <v>5188.872692026478</v>
      </c>
      <c r="N57" s="62">
        <f t="shared" si="11"/>
        <v>0.23450212493270628</v>
      </c>
    </row>
    <row r="58" spans="1:14" ht="15.95" customHeight="1">
      <c r="A58" s="21" t="s">
        <v>66</v>
      </c>
      <c r="B58" s="39">
        <f t="shared" si="14"/>
        <v>119101.6</v>
      </c>
      <c r="C58" s="11">
        <f t="shared" si="9"/>
        <v>402.56340800000004</v>
      </c>
      <c r="D58" s="11">
        <f t="shared" si="10"/>
        <v>17340.879087999998</v>
      </c>
      <c r="E58" s="11">
        <f t="shared" si="2"/>
        <v>29775.4</v>
      </c>
      <c r="F58" s="11">
        <f t="shared" si="0"/>
        <v>12434.520912000004</v>
      </c>
      <c r="G58" s="12">
        <f t="shared" si="3"/>
        <v>0.7170640455364673</v>
      </c>
      <c r="H58" s="36">
        <f t="shared" si="1"/>
        <v>89516.762560000003</v>
      </c>
      <c r="I58" s="19">
        <f t="shared" si="4"/>
        <v>22379.190640000001</v>
      </c>
      <c r="J58" s="19">
        <f t="shared" si="5"/>
        <v>5038.3115520000028</v>
      </c>
      <c r="K58" s="13">
        <f t="shared" si="6"/>
        <v>0.29054533662520876</v>
      </c>
      <c r="L58" s="39">
        <f t="shared" si="7"/>
        <v>22791.590175762121</v>
      </c>
      <c r="M58" s="39">
        <f>$L58-SUM($C$12:$C58)</f>
        <v>5450.7110877621235</v>
      </c>
      <c r="N58" s="62">
        <f t="shared" si="11"/>
        <v>0.2391544883760994</v>
      </c>
    </row>
    <row r="59" spans="1:14" ht="15.95" customHeight="1">
      <c r="A59" s="17" t="s">
        <v>67</v>
      </c>
      <c r="B59" s="40">
        <f t="shared" si="14"/>
        <v>119101.6</v>
      </c>
      <c r="C59" s="15">
        <f t="shared" si="9"/>
        <v>402.56340800000004</v>
      </c>
      <c r="D59" s="15">
        <f t="shared" si="10"/>
        <v>17743.442496</v>
      </c>
      <c r="E59" s="15">
        <f t="shared" si="2"/>
        <v>29775.4</v>
      </c>
      <c r="F59" s="15">
        <f t="shared" si="0"/>
        <v>12031.957504000002</v>
      </c>
      <c r="G59" s="16">
        <f t="shared" si="3"/>
        <v>0.67810727860235864</v>
      </c>
      <c r="H59" s="37">
        <f t="shared" si="1"/>
        <v>89516.762560000003</v>
      </c>
      <c r="I59" s="23">
        <f t="shared" si="4"/>
        <v>22379.190640000001</v>
      </c>
      <c r="J59" s="23">
        <f t="shared" si="5"/>
        <v>4635.748144000001</v>
      </c>
      <c r="K59" s="24">
        <f t="shared" si="6"/>
        <v>0.26126543059753277</v>
      </c>
      <c r="L59" s="58">
        <f t="shared" si="7"/>
        <v>23463.854067508641</v>
      </c>
      <c r="M59" s="58">
        <f>$L59-SUM($C$12:$C59)</f>
        <v>5720.4115715086409</v>
      </c>
      <c r="N59" s="63">
        <f t="shared" si="11"/>
        <v>0.24379675883809426</v>
      </c>
    </row>
    <row r="60" spans="1:14" ht="15.95" customHeight="1">
      <c r="A60" s="21" t="s">
        <v>68</v>
      </c>
      <c r="B60" s="39">
        <f>B59*(1+$F$8)</f>
        <v>126247.69600000001</v>
      </c>
      <c r="C60" s="11">
        <f>C59*(1+$F$8)</f>
        <v>426.71721248000006</v>
      </c>
      <c r="D60" s="11">
        <f t="shared" si="10"/>
        <v>18170.159708480001</v>
      </c>
      <c r="E60" s="11">
        <f t="shared" si="2"/>
        <v>31561.924000000003</v>
      </c>
      <c r="F60" s="11">
        <f t="shared" si="0"/>
        <v>13391.764291520001</v>
      </c>
      <c r="G60" s="12">
        <f t="shared" si="3"/>
        <v>0.73701962483412153</v>
      </c>
      <c r="H60" s="36">
        <f t="shared" si="1"/>
        <v>94887.768313600012</v>
      </c>
      <c r="I60" s="19">
        <f t="shared" si="4"/>
        <v>23721.942078400003</v>
      </c>
      <c r="J60" s="19">
        <f t="shared" si="5"/>
        <v>5551.7823699200017</v>
      </c>
      <c r="K60" s="13">
        <f t="shared" si="6"/>
        <v>0.30554395002532581</v>
      </c>
      <c r="L60" s="39">
        <f t="shared" si="7"/>
        <v>24168.226886454162</v>
      </c>
      <c r="M60" s="39">
        <f>$L60-SUM($C$12:$C60)</f>
        <v>5998.0671779741606</v>
      </c>
      <c r="N60" s="62">
        <f t="shared" si="11"/>
        <v>0.24817986053151317</v>
      </c>
    </row>
    <row r="61" spans="1:14" ht="15.95" customHeight="1">
      <c r="A61" s="21" t="s">
        <v>69</v>
      </c>
      <c r="B61" s="39">
        <f>B60</f>
        <v>126247.69600000001</v>
      </c>
      <c r="C61" s="11">
        <f t="shared" si="9"/>
        <v>426.71721248000006</v>
      </c>
      <c r="D61" s="11">
        <f t="shared" si="10"/>
        <v>18596.876920960003</v>
      </c>
      <c r="E61" s="11">
        <f t="shared" si="2"/>
        <v>31561.924000000003</v>
      </c>
      <c r="F61" s="11">
        <f t="shared" si="0"/>
        <v>12965.04707904</v>
      </c>
      <c r="G61" s="14">
        <f t="shared" si="3"/>
        <v>0.69716260069600555</v>
      </c>
      <c r="H61" s="36">
        <f t="shared" si="1"/>
        <v>94887.768313600012</v>
      </c>
      <c r="I61" s="19">
        <f t="shared" si="4"/>
        <v>23721.942078400003</v>
      </c>
      <c r="J61" s="19">
        <f t="shared" si="5"/>
        <v>5125.0651574399999</v>
      </c>
      <c r="K61" s="13">
        <f t="shared" si="6"/>
        <v>0.27558741068311782</v>
      </c>
      <c r="L61" s="39">
        <f t="shared" si="7"/>
        <v>24880.934783757206</v>
      </c>
      <c r="M61" s="39">
        <f>$L61-SUM($C$12:$C61)</f>
        <v>6284.0578627972027</v>
      </c>
      <c r="N61" s="62">
        <f t="shared" si="11"/>
        <v>0.25256518364010855</v>
      </c>
    </row>
    <row r="62" spans="1:14" ht="15.95" customHeight="1">
      <c r="A62" s="21" t="s">
        <v>70</v>
      </c>
      <c r="B62" s="39">
        <f t="shared" ref="B62:B71" si="15">B61</f>
        <v>126247.69600000001</v>
      </c>
      <c r="C62" s="11">
        <f t="shared" si="9"/>
        <v>426.71721248000006</v>
      </c>
      <c r="D62" s="11">
        <f t="shared" si="10"/>
        <v>19023.594133440005</v>
      </c>
      <c r="E62" s="11">
        <f t="shared" si="2"/>
        <v>31561.924000000003</v>
      </c>
      <c r="F62" s="11">
        <f t="shared" si="0"/>
        <v>12538.329866559998</v>
      </c>
      <c r="G62" s="14">
        <f t="shared" si="3"/>
        <v>0.65909363806915455</v>
      </c>
      <c r="H62" s="36">
        <f t="shared" si="1"/>
        <v>94887.768313600012</v>
      </c>
      <c r="I62" s="18">
        <f t="shared" si="4"/>
        <v>23721.942078400003</v>
      </c>
      <c r="J62" s="18">
        <f t="shared" si="5"/>
        <v>4698.3479449599981</v>
      </c>
      <c r="K62" s="13">
        <f t="shared" si="6"/>
        <v>0.24697477837277659</v>
      </c>
      <c r="L62" s="39">
        <f t="shared" si="7"/>
        <v>25602.076391178336</v>
      </c>
      <c r="M62" s="39">
        <f>$L62-SUM($C$12:$C62)</f>
        <v>6578.4822577383311</v>
      </c>
      <c r="N62" s="62">
        <f t="shared" si="11"/>
        <v>0.25695112213652593</v>
      </c>
    </row>
    <row r="63" spans="1:14" ht="15.95" customHeight="1">
      <c r="A63" s="21" t="s">
        <v>71</v>
      </c>
      <c r="B63" s="39">
        <f t="shared" si="15"/>
        <v>126247.69600000001</v>
      </c>
      <c r="C63" s="11">
        <f t="shared" si="9"/>
        <v>426.71721248000006</v>
      </c>
      <c r="D63" s="11">
        <f t="shared" si="10"/>
        <v>19450.311345920007</v>
      </c>
      <c r="E63" s="11">
        <f t="shared" si="2"/>
        <v>31561.924000000003</v>
      </c>
      <c r="F63" s="11">
        <f t="shared" si="0"/>
        <v>12111.612654079996</v>
      </c>
      <c r="G63" s="12">
        <f t="shared" si="3"/>
        <v>0.62269505298281957</v>
      </c>
      <c r="H63" s="36">
        <f t="shared" si="1"/>
        <v>94887.768313600012</v>
      </c>
      <c r="I63" s="19">
        <f t="shared" si="4"/>
        <v>23721.942078400003</v>
      </c>
      <c r="J63" s="19">
        <f t="shared" si="5"/>
        <v>4271.6307324799964</v>
      </c>
      <c r="K63" s="13">
        <f t="shared" si="6"/>
        <v>0.21961760182188728</v>
      </c>
      <c r="L63" s="39">
        <f t="shared" si="7"/>
        <v>26331.751507620615</v>
      </c>
      <c r="M63" s="39">
        <f>$L63-SUM($C$12:$C63)</f>
        <v>6881.4401617006079</v>
      </c>
      <c r="N63" s="62">
        <f t="shared" si="11"/>
        <v>0.26133621076095392</v>
      </c>
    </row>
    <row r="64" spans="1:14" ht="15.95" customHeight="1">
      <c r="A64" s="21" t="s">
        <v>72</v>
      </c>
      <c r="B64" s="39">
        <f t="shared" si="15"/>
        <v>126247.69600000001</v>
      </c>
      <c r="C64" s="11">
        <f t="shared" si="9"/>
        <v>426.71721248000006</v>
      </c>
      <c r="D64" s="11">
        <f t="shared" si="10"/>
        <v>19877.028558400008</v>
      </c>
      <c r="E64" s="11">
        <f t="shared" si="2"/>
        <v>31561.924000000003</v>
      </c>
      <c r="F64" s="11">
        <f t="shared" si="0"/>
        <v>11684.895441599994</v>
      </c>
      <c r="G64" s="12">
        <f t="shared" si="3"/>
        <v>0.58785926715701031</v>
      </c>
      <c r="H64" s="36">
        <f t="shared" si="1"/>
        <v>94887.768313600012</v>
      </c>
      <c r="I64" s="19">
        <f t="shared" si="4"/>
        <v>23721.942078400003</v>
      </c>
      <c r="J64" s="19">
        <f t="shared" si="5"/>
        <v>3844.9135199999946</v>
      </c>
      <c r="K64" s="13">
        <f t="shared" si="6"/>
        <v>0.193435025195209</v>
      </c>
      <c r="L64" s="39">
        <f t="shared" si="7"/>
        <v>27070.061112940795</v>
      </c>
      <c r="M64" s="39">
        <f>$L64-SUM($C$12:$C64)</f>
        <v>7193.0325545407868</v>
      </c>
      <c r="N64" s="62">
        <f t="shared" si="11"/>
        <v>0.26571911029421985</v>
      </c>
    </row>
    <row r="65" spans="1:14" ht="15.95" customHeight="1">
      <c r="A65" s="21" t="s">
        <v>73</v>
      </c>
      <c r="B65" s="39">
        <f t="shared" si="15"/>
        <v>126247.69600000001</v>
      </c>
      <c r="C65" s="11">
        <f t="shared" si="9"/>
        <v>426.71721248000006</v>
      </c>
      <c r="D65" s="11">
        <f t="shared" si="10"/>
        <v>20303.74577088001</v>
      </c>
      <c r="E65" s="11">
        <f t="shared" si="2"/>
        <v>31561.924000000003</v>
      </c>
      <c r="F65" s="11">
        <f t="shared" si="0"/>
        <v>11258.178229119992</v>
      </c>
      <c r="G65" s="12">
        <f t="shared" si="3"/>
        <v>0.55448774606243689</v>
      </c>
      <c r="H65" s="36">
        <f t="shared" si="1"/>
        <v>94887.768313600012</v>
      </c>
      <c r="I65" s="19">
        <f t="shared" si="4"/>
        <v>23721.942078400003</v>
      </c>
      <c r="J65" s="19">
        <f t="shared" si="5"/>
        <v>3418.1963075199928</v>
      </c>
      <c r="K65" s="13">
        <f t="shared" si="6"/>
        <v>0.16835298994052764</v>
      </c>
      <c r="L65" s="39">
        <f t="shared" si="7"/>
        <v>27817.107381923932</v>
      </c>
      <c r="M65" s="39">
        <f>$L65-SUM($C$12:$C65)</f>
        <v>7513.3616110439216</v>
      </c>
      <c r="N65" s="62">
        <f t="shared" si="11"/>
        <v>0.27009859464849467</v>
      </c>
    </row>
    <row r="66" spans="1:14" ht="15.95" customHeight="1">
      <c r="A66" s="21" t="s">
        <v>74</v>
      </c>
      <c r="B66" s="39">
        <f t="shared" si="15"/>
        <v>126247.69600000001</v>
      </c>
      <c r="C66" s="11">
        <f t="shared" si="9"/>
        <v>426.71721248000006</v>
      </c>
      <c r="D66" s="11">
        <f t="shared" si="10"/>
        <v>20730.462983360012</v>
      </c>
      <c r="E66" s="11">
        <f t="shared" si="2"/>
        <v>31561.924000000003</v>
      </c>
      <c r="F66" s="11">
        <f t="shared" si="0"/>
        <v>10831.461016639991</v>
      </c>
      <c r="G66" s="12">
        <f t="shared" si="3"/>
        <v>0.52249006813471643</v>
      </c>
      <c r="H66" s="36">
        <f t="shared" si="1"/>
        <v>94887.768313600012</v>
      </c>
      <c r="I66" s="19">
        <f t="shared" si="4"/>
        <v>23721.942078400003</v>
      </c>
      <c r="J66" s="19">
        <f t="shared" si="5"/>
        <v>2991.4790950399911</v>
      </c>
      <c r="K66" s="13">
        <f t="shared" si="6"/>
        <v>0.14430353521005296</v>
      </c>
      <c r="L66" s="39">
        <f t="shared" si="7"/>
        <v>28572.993698423368</v>
      </c>
      <c r="M66" s="39">
        <f>$L66-SUM($C$12:$C66)</f>
        <v>7842.5307150633562</v>
      </c>
      <c r="N66" s="62">
        <f t="shared" si="11"/>
        <v>0.27447353951910541</v>
      </c>
    </row>
    <row r="67" spans="1:14" ht="15.95" customHeight="1">
      <c r="A67" s="21" t="s">
        <v>75</v>
      </c>
      <c r="B67" s="39">
        <f t="shared" si="15"/>
        <v>126247.69600000001</v>
      </c>
      <c r="C67" s="11">
        <f t="shared" si="9"/>
        <v>426.71721248000006</v>
      </c>
      <c r="D67" s="11">
        <f t="shared" si="10"/>
        <v>21157.180195840014</v>
      </c>
      <c r="E67" s="11">
        <f t="shared" si="2"/>
        <v>31561.924000000003</v>
      </c>
      <c r="F67" s="11">
        <f t="shared" si="0"/>
        <v>10404.743804159989</v>
      </c>
      <c r="G67" s="12">
        <f t="shared" si="3"/>
        <v>0.49178310662617508</v>
      </c>
      <c r="H67" s="36">
        <f t="shared" si="1"/>
        <v>94887.768313600012</v>
      </c>
      <c r="I67" s="19">
        <f t="shared" si="4"/>
        <v>23721.942078400003</v>
      </c>
      <c r="J67" s="19">
        <f t="shared" si="5"/>
        <v>2564.7618825599893</v>
      </c>
      <c r="K67" s="13">
        <f t="shared" si="6"/>
        <v>0.12122418294023322</v>
      </c>
      <c r="L67" s="39">
        <f t="shared" si="7"/>
        <v>29337.824669668047</v>
      </c>
      <c r="M67" s="39">
        <f>$L67-SUM($C$12:$C67)</f>
        <v>8180.6444738280334</v>
      </c>
      <c r="N67" s="62">
        <f t="shared" si="11"/>
        <v>0.27884291238149922</v>
      </c>
    </row>
    <row r="68" spans="1:14" ht="15.95" customHeight="1">
      <c r="A68" s="21" t="s">
        <v>76</v>
      </c>
      <c r="B68" s="39">
        <f t="shared" si="15"/>
        <v>126247.69600000001</v>
      </c>
      <c r="C68" s="11">
        <f t="shared" si="9"/>
        <v>426.71721248000006</v>
      </c>
      <c r="D68" s="11">
        <f t="shared" si="10"/>
        <v>21583.897408320016</v>
      </c>
      <c r="E68" s="11">
        <f t="shared" si="2"/>
        <v>31561.924000000003</v>
      </c>
      <c r="F68" s="11">
        <f t="shared" si="0"/>
        <v>9978.0265916799872</v>
      </c>
      <c r="G68" s="12">
        <f t="shared" si="3"/>
        <v>0.46229030850719871</v>
      </c>
      <c r="H68" s="36">
        <f t="shared" si="1"/>
        <v>94887.768313600012</v>
      </c>
      <c r="I68" s="18">
        <f t="shared" si="4"/>
        <v>23721.942078400003</v>
      </c>
      <c r="J68" s="18">
        <f t="shared" si="5"/>
        <v>2138.0446700799876</v>
      </c>
      <c r="K68" s="13">
        <f t="shared" si="6"/>
        <v>9.905739587401062E-2</v>
      </c>
      <c r="L68" s="39">
        <f t="shared" si="7"/>
        <v>30111.706140739123</v>
      </c>
      <c r="M68" s="39">
        <f>$L68-SUM($C$12:$C68)</f>
        <v>8527.8087324191074</v>
      </c>
      <c r="N68" s="62">
        <f t="shared" si="11"/>
        <v>0.28320576365088634</v>
      </c>
    </row>
    <row r="69" spans="1:14" ht="15.95" customHeight="1">
      <c r="A69" s="21" t="s">
        <v>77</v>
      </c>
      <c r="B69" s="39">
        <f t="shared" si="15"/>
        <v>126247.69600000001</v>
      </c>
      <c r="C69" s="11">
        <f t="shared" si="9"/>
        <v>426.71721248000006</v>
      </c>
      <c r="D69" s="11">
        <f t="shared" si="10"/>
        <v>22010.614620800017</v>
      </c>
      <c r="E69" s="11">
        <f t="shared" si="2"/>
        <v>31561.924000000003</v>
      </c>
      <c r="F69" s="11">
        <f t="shared" si="0"/>
        <v>9551.3093791999854</v>
      </c>
      <c r="G69" s="12">
        <f t="shared" si="3"/>
        <v>0.43394105724671606</v>
      </c>
      <c r="H69" s="36">
        <f t="shared" si="1"/>
        <v>94887.768313600012</v>
      </c>
      <c r="I69" s="19">
        <f t="shared" si="4"/>
        <v>23721.942078400003</v>
      </c>
      <c r="J69" s="19">
        <f t="shared" si="5"/>
        <v>1711.3274575999858</v>
      </c>
      <c r="K69" s="13">
        <f t="shared" si="6"/>
        <v>7.7750098626631819E-2</v>
      </c>
      <c r="L69" s="39">
        <f t="shared" si="7"/>
        <v>30894.745209217872</v>
      </c>
      <c r="M69" s="39">
        <f>$L69-SUM($C$12:$C69)</f>
        <v>8884.1305884178546</v>
      </c>
      <c r="N69" s="62">
        <f t="shared" si="11"/>
        <v>0.28756121884983704</v>
      </c>
    </row>
    <row r="70" spans="1:14" ht="15.95" customHeight="1">
      <c r="A70" s="21" t="s">
        <v>78</v>
      </c>
      <c r="B70" s="39">
        <f t="shared" si="15"/>
        <v>126247.69600000001</v>
      </c>
      <c r="C70" s="11">
        <f t="shared" si="9"/>
        <v>426.71721248000006</v>
      </c>
      <c r="D70" s="11">
        <f t="shared" si="10"/>
        <v>22437.331833280019</v>
      </c>
      <c r="E70" s="11">
        <f t="shared" si="2"/>
        <v>31561.924000000003</v>
      </c>
      <c r="F70" s="11">
        <f t="shared" si="0"/>
        <v>9124.5921667199837</v>
      </c>
      <c r="G70" s="12">
        <f t="shared" si="3"/>
        <v>0.40667010830521277</v>
      </c>
      <c r="H70" s="36">
        <f t="shared" si="1"/>
        <v>94887.768313600012</v>
      </c>
      <c r="I70" s="19">
        <f t="shared" si="4"/>
        <v>23721.942078400003</v>
      </c>
      <c r="J70" s="19">
        <f t="shared" si="5"/>
        <v>1284.610245119984</v>
      </c>
      <c r="K70" s="13">
        <f t="shared" si="6"/>
        <v>5.7253253402197966E-2</v>
      </c>
      <c r="L70" s="39">
        <f t="shared" si="7"/>
        <v>31687.050240006953</v>
      </c>
      <c r="M70" s="39">
        <f>$L70-SUM($C$12:$C70)</f>
        <v>9249.7184067269336</v>
      </c>
      <c r="N70" s="62">
        <f t="shared" si="11"/>
        <v>0.29190847165220085</v>
      </c>
    </row>
    <row r="71" spans="1:14" ht="15.95" customHeight="1">
      <c r="A71" s="17" t="s">
        <v>79</v>
      </c>
      <c r="B71" s="40">
        <f t="shared" si="15"/>
        <v>126247.69600000001</v>
      </c>
      <c r="C71" s="15">
        <f t="shared" si="9"/>
        <v>426.71721248000006</v>
      </c>
      <c r="D71" s="15">
        <f t="shared" si="10"/>
        <v>22864.049045760021</v>
      </c>
      <c r="E71" s="15">
        <f t="shared" si="2"/>
        <v>31561.924000000003</v>
      </c>
      <c r="F71" s="15">
        <f t="shared" si="0"/>
        <v>8697.8749542399819</v>
      </c>
      <c r="G71" s="16">
        <f t="shared" si="3"/>
        <v>0.38041708784091954</v>
      </c>
      <c r="H71" s="37">
        <f t="shared" si="1"/>
        <v>94887.768313600012</v>
      </c>
      <c r="I71" s="23">
        <f t="shared" si="4"/>
        <v>23721.942078400003</v>
      </c>
      <c r="J71" s="23">
        <f t="shared" si="5"/>
        <v>857.89303263998227</v>
      </c>
      <c r="K71" s="24">
        <f t="shared" si="6"/>
        <v>3.7521483221235157E-2</v>
      </c>
      <c r="L71" s="58">
        <f t="shared" si="7"/>
        <v>32488.730880327039</v>
      </c>
      <c r="M71" s="58">
        <f>$L71-SUM($C$12:$C71)</f>
        <v>9624.6818345670181</v>
      </c>
      <c r="N71" s="63">
        <f t="shared" si="11"/>
        <v>0.29624677769100144</v>
      </c>
    </row>
    <row r="72" spans="1:14" ht="15.95" customHeight="1">
      <c r="A72" s="21" t="s">
        <v>80</v>
      </c>
      <c r="B72" s="39">
        <f>B71*(1+$F$8)</f>
        <v>133822.55776000003</v>
      </c>
      <c r="C72" s="11">
        <f>C71*(1+$F$8)</f>
        <v>452.3202452288001</v>
      </c>
      <c r="D72" s="11">
        <f t="shared" si="10"/>
        <v>23316.36929098882</v>
      </c>
      <c r="E72" s="11">
        <f t="shared" si="2"/>
        <v>33455.639440000006</v>
      </c>
      <c r="F72" s="11">
        <f t="shared" si="0"/>
        <v>10139.270149011187</v>
      </c>
      <c r="G72" s="12">
        <f t="shared" si="3"/>
        <v>0.4348563029892375</v>
      </c>
      <c r="H72" s="36">
        <f t="shared" si="1"/>
        <v>100581.03441241602</v>
      </c>
      <c r="I72" s="19">
        <f t="shared" si="4"/>
        <v>25145.258603104005</v>
      </c>
      <c r="J72" s="19">
        <f t="shared" si="5"/>
        <v>1828.889312115185</v>
      </c>
      <c r="K72" s="13">
        <f t="shared" si="6"/>
        <v>7.843799732671089E-2</v>
      </c>
      <c r="L72" s="39">
        <f t="shared" si="7"/>
        <v>33325.501107639713</v>
      </c>
      <c r="M72" s="39">
        <f>$L72-SUM($C$12:$C72)</f>
        <v>10009.131816650894</v>
      </c>
      <c r="N72" s="62">
        <f t="shared" si="11"/>
        <v>0.30034452548280954</v>
      </c>
    </row>
    <row r="73" spans="1:14" ht="15.95" customHeight="1">
      <c r="A73" s="21" t="s">
        <v>81</v>
      </c>
      <c r="B73" s="39">
        <f>B72</f>
        <v>133822.55776000003</v>
      </c>
      <c r="C73" s="11">
        <f t="shared" si="9"/>
        <v>452.3202452288001</v>
      </c>
      <c r="D73" s="11">
        <f t="shared" si="10"/>
        <v>23768.689536217618</v>
      </c>
      <c r="E73" s="11">
        <f t="shared" si="2"/>
        <v>33455.639440000006</v>
      </c>
      <c r="F73" s="11">
        <f t="shared" si="0"/>
        <v>9686.949903782388</v>
      </c>
      <c r="G73" s="14">
        <f t="shared" si="3"/>
        <v>0.40755086177645033</v>
      </c>
      <c r="H73" s="36">
        <f t="shared" si="1"/>
        <v>100581.03441241602</v>
      </c>
      <c r="I73" s="18">
        <f t="shared" si="4"/>
        <v>25145.258603104005</v>
      </c>
      <c r="J73" s="18">
        <f t="shared" si="5"/>
        <v>1376.5690668863863</v>
      </c>
      <c r="K73" s="13">
        <f t="shared" si="6"/>
        <v>5.7915227711180066E-2</v>
      </c>
      <c r="L73" s="39">
        <f t="shared" si="7"/>
        <v>34172.173115975587</v>
      </c>
      <c r="M73" s="39">
        <f>$L73-SUM($C$12:$C73)</f>
        <v>10403.483579757969</v>
      </c>
      <c r="N73" s="62">
        <f t="shared" si="11"/>
        <v>0.30444313694800729</v>
      </c>
    </row>
    <row r="74" spans="1:14" ht="15.95" customHeight="1">
      <c r="A74" s="21" t="s">
        <v>82</v>
      </c>
      <c r="B74" s="39">
        <f t="shared" ref="B74:C89" si="16">B73</f>
        <v>133822.55776000003</v>
      </c>
      <c r="C74" s="11">
        <f t="shared" si="9"/>
        <v>452.3202452288001</v>
      </c>
      <c r="D74" s="11">
        <f t="shared" si="10"/>
        <v>24221.009781446417</v>
      </c>
      <c r="E74" s="11">
        <f t="shared" si="2"/>
        <v>33455.639440000006</v>
      </c>
      <c r="F74" s="11">
        <f t="shared" si="0"/>
        <v>9234.6296585535893</v>
      </c>
      <c r="G74" s="14">
        <f t="shared" si="3"/>
        <v>0.38126526275660999</v>
      </c>
      <c r="H74" s="36">
        <f t="shared" si="1"/>
        <v>100581.03441241602</v>
      </c>
      <c r="I74" s="19">
        <f t="shared" si="4"/>
        <v>25145.258603104005</v>
      </c>
      <c r="J74" s="19">
        <f t="shared" si="5"/>
        <v>924.24882165758754</v>
      </c>
      <c r="K74" s="13">
        <f t="shared" si="6"/>
        <v>3.8158971487868072E-2</v>
      </c>
      <c r="L74" s="39">
        <f t="shared" si="7"/>
        <v>35028.8640764101</v>
      </c>
      <c r="M74" s="39">
        <f>$L74-SUM($C$12:$C74)</f>
        <v>10807.854294963683</v>
      </c>
      <c r="N74" s="62">
        <f t="shared" si="11"/>
        <v>0.30854138665153413</v>
      </c>
    </row>
    <row r="75" spans="1:14" ht="15.95" customHeight="1">
      <c r="A75" s="21" t="s">
        <v>83</v>
      </c>
      <c r="B75" s="39">
        <f t="shared" si="16"/>
        <v>133822.55776000003</v>
      </c>
      <c r="C75" s="11">
        <f t="shared" si="9"/>
        <v>452.3202452288001</v>
      </c>
      <c r="D75" s="11">
        <f t="shared" si="10"/>
        <v>24673.330026675216</v>
      </c>
      <c r="E75" s="11">
        <f t="shared" si="2"/>
        <v>33455.639440000006</v>
      </c>
      <c r="F75" s="11">
        <f t="shared" si="0"/>
        <v>8782.3094133247905</v>
      </c>
      <c r="G75" s="12">
        <f t="shared" si="3"/>
        <v>0.35594341760232295</v>
      </c>
      <c r="H75" s="36">
        <f t="shared" si="1"/>
        <v>100581.03441241602</v>
      </c>
      <c r="I75" s="19">
        <f t="shared" si="4"/>
        <v>25145.258603104005</v>
      </c>
      <c r="J75" s="19">
        <f t="shared" si="5"/>
        <v>471.9285764287888</v>
      </c>
      <c r="K75" s="13">
        <f t="shared" si="6"/>
        <v>1.9127072669905928E-2</v>
      </c>
      <c r="L75" s="39">
        <f t="shared" si="7"/>
        <v>35895.69254654309</v>
      </c>
      <c r="M75" s="39">
        <f>$L75-SUM($C$12:$C75)</f>
        <v>11222.362519867875</v>
      </c>
      <c r="N75" s="62">
        <f t="shared" si="11"/>
        <v>0.31263813911144711</v>
      </c>
    </row>
    <row r="76" spans="1:14" ht="15.95" customHeight="1">
      <c r="A76" s="21" t="s">
        <v>84</v>
      </c>
      <c r="B76" s="39">
        <f t="shared" si="16"/>
        <v>133822.55776000003</v>
      </c>
      <c r="C76" s="11">
        <f t="shared" si="9"/>
        <v>452.3202452288001</v>
      </c>
      <c r="D76" s="11">
        <f t="shared" si="10"/>
        <v>25125.650271904015</v>
      </c>
      <c r="E76" s="11">
        <f t="shared" si="2"/>
        <v>33455.639440000006</v>
      </c>
      <c r="F76" s="11">
        <f t="shared" ref="F76:F107" si="17">E76-D76</f>
        <v>8329.9891680959918</v>
      </c>
      <c r="G76" s="12">
        <f t="shared" si="3"/>
        <v>0.33153327686848949</v>
      </c>
      <c r="H76" s="36">
        <f t="shared" ref="H76:H139" si="18">B76-(((B76*(1+$Q$12))/$E$8)*$Q$14)</f>
        <v>100581.03441241602</v>
      </c>
      <c r="I76" s="19">
        <f t="shared" si="4"/>
        <v>25145.258603104005</v>
      </c>
      <c r="J76" s="19">
        <f t="shared" si="5"/>
        <v>19.608331199990062</v>
      </c>
      <c r="K76" s="13">
        <f t="shared" si="6"/>
        <v>7.8041089435669151E-4</v>
      </c>
      <c r="L76" s="39">
        <f t="shared" si="7"/>
        <v>36772.778486905991</v>
      </c>
      <c r="M76" s="39">
        <f>$L76-SUM($C$12:$C76)</f>
        <v>11647.128215001976</v>
      </c>
      <c r="N76" s="62">
        <f t="shared" si="11"/>
        <v>0.31673234099374004</v>
      </c>
    </row>
    <row r="77" spans="1:14" ht="15.95" customHeight="1">
      <c r="A77" s="21" t="s">
        <v>85</v>
      </c>
      <c r="B77" s="39">
        <f t="shared" si="16"/>
        <v>133822.55776000003</v>
      </c>
      <c r="C77" s="11">
        <f t="shared" si="9"/>
        <v>452.3202452288001</v>
      </c>
      <c r="D77" s="11">
        <f t="shared" si="10"/>
        <v>25577.970517132813</v>
      </c>
      <c r="E77" s="11">
        <f t="shared" ref="E77:E107" si="19">B77*$G$8</f>
        <v>33455.639440000006</v>
      </c>
      <c r="F77" s="11">
        <f t="shared" si="17"/>
        <v>7877.668922867193</v>
      </c>
      <c r="G77" s="12">
        <f t="shared" ref="G77:G107" si="20">F77/D77</f>
        <v>0.30798647287479353</v>
      </c>
      <c r="H77" s="36">
        <f t="shared" si="18"/>
        <v>100581.03441241602</v>
      </c>
      <c r="I77" s="19">
        <f t="shared" ref="I77:I107" si="21">H77*$G$8</f>
        <v>25145.258603104005</v>
      </c>
      <c r="J77" s="19">
        <f t="shared" ref="J77:J107" si="22">I77-D77</f>
        <v>-432.71191402880868</v>
      </c>
      <c r="K77" s="13">
        <f t="shared" ref="K77:K107" si="23">J77/D77</f>
        <v>-1.6917366987305213E-2</v>
      </c>
      <c r="L77" s="39">
        <f t="shared" ref="L77:L140" si="24">(L76*(1+($H$8/12)))+C77</f>
        <v>37660.243277563182</v>
      </c>
      <c r="M77" s="39">
        <f>$L77-SUM($C$12:$C77)</f>
        <v>12082.272760430369</v>
      </c>
      <c r="N77" s="62">
        <f t="shared" si="11"/>
        <v>0.3208230141101775</v>
      </c>
    </row>
    <row r="78" spans="1:14" ht="15.95" customHeight="1">
      <c r="A78" s="21" t="s">
        <v>86</v>
      </c>
      <c r="B78" s="39">
        <f t="shared" si="16"/>
        <v>133822.55776000003</v>
      </c>
      <c r="C78" s="11">
        <f t="shared" si="16"/>
        <v>452.3202452288001</v>
      </c>
      <c r="D78" s="11">
        <f t="shared" ref="D78:D107" si="25">D77+C78</f>
        <v>26030.290762361612</v>
      </c>
      <c r="E78" s="11">
        <f t="shared" si="19"/>
        <v>33455.639440000006</v>
      </c>
      <c r="F78" s="11">
        <f t="shared" si="17"/>
        <v>7425.3486776383943</v>
      </c>
      <c r="G78" s="12">
        <f t="shared" si="20"/>
        <v>0.28525799982130995</v>
      </c>
      <c r="H78" s="36">
        <f t="shared" si="18"/>
        <v>100581.03441241602</v>
      </c>
      <c r="I78" s="19">
        <f t="shared" si="21"/>
        <v>25145.258603104005</v>
      </c>
      <c r="J78" s="19">
        <f t="shared" si="22"/>
        <v>-885.03215925760742</v>
      </c>
      <c r="K78" s="13">
        <f t="shared" si="23"/>
        <v>-3.4000087334303458E-2</v>
      </c>
      <c r="L78" s="39">
        <f t="shared" si="24"/>
        <v>38558.209734909819</v>
      </c>
      <c r="M78" s="39">
        <f>$L78-SUM($C$12:$C78)</f>
        <v>12527.918972548207</v>
      </c>
      <c r="N78" s="62">
        <f t="shared" ref="N78:N141" si="26">M78/L78</f>
        <v>0.32490924912433589</v>
      </c>
    </row>
    <row r="79" spans="1:14" ht="15.95" customHeight="1">
      <c r="A79" s="21" t="s">
        <v>87</v>
      </c>
      <c r="B79" s="39">
        <f t="shared" si="16"/>
        <v>133822.55776000003</v>
      </c>
      <c r="C79" s="11">
        <f t="shared" si="16"/>
        <v>452.3202452288001</v>
      </c>
      <c r="D79" s="11">
        <f t="shared" si="25"/>
        <v>26482.611007590411</v>
      </c>
      <c r="E79" s="11">
        <f t="shared" si="19"/>
        <v>33455.639440000006</v>
      </c>
      <c r="F79" s="11">
        <f t="shared" si="17"/>
        <v>6973.0284324095956</v>
      </c>
      <c r="G79" s="12">
        <f t="shared" si="20"/>
        <v>0.26330592668566538</v>
      </c>
      <c r="H79" s="36">
        <f t="shared" si="18"/>
        <v>100581.03441241602</v>
      </c>
      <c r="I79" s="19">
        <f t="shared" si="21"/>
        <v>25145.258603104005</v>
      </c>
      <c r="J79" s="19">
        <f t="shared" si="22"/>
        <v>-1337.3524044864062</v>
      </c>
      <c r="K79" s="13">
        <f t="shared" si="23"/>
        <v>-5.0499265503053913E-2</v>
      </c>
      <c r="L79" s="39">
        <f t="shared" si="24"/>
        <v>39466.802128668387</v>
      </c>
      <c r="M79" s="39">
        <f>$L79-SUM($C$12:$C79)</f>
        <v>12984.191121077976</v>
      </c>
      <c r="N79" s="62">
        <f t="shared" si="26"/>
        <v>0.32899019988362216</v>
      </c>
    </row>
    <row r="80" spans="1:14" ht="15.95" customHeight="1">
      <c r="A80" s="21" t="s">
        <v>88</v>
      </c>
      <c r="B80" s="39">
        <f t="shared" si="16"/>
        <v>133822.55776000003</v>
      </c>
      <c r="C80" s="11">
        <f t="shared" si="16"/>
        <v>452.3202452288001</v>
      </c>
      <c r="D80" s="11">
        <f t="shared" si="25"/>
        <v>26934.931252819209</v>
      </c>
      <c r="E80" s="11">
        <f t="shared" si="19"/>
        <v>33455.639440000006</v>
      </c>
      <c r="F80" s="11">
        <f t="shared" si="17"/>
        <v>6520.7081871807968</v>
      </c>
      <c r="G80" s="12">
        <f t="shared" si="20"/>
        <v>0.24209113904823096</v>
      </c>
      <c r="H80" s="36">
        <f t="shared" si="18"/>
        <v>100581.03441241602</v>
      </c>
      <c r="I80" s="19">
        <f t="shared" si="21"/>
        <v>25145.258603104005</v>
      </c>
      <c r="J80" s="19">
        <f t="shared" si="22"/>
        <v>-1789.6726497152049</v>
      </c>
      <c r="K80" s="13">
        <f t="shared" si="23"/>
        <v>-6.6444299891349617E-2</v>
      </c>
      <c r="L80" s="39">
        <f t="shared" si="24"/>
        <v>40386.146199086434</v>
      </c>
      <c r="M80" s="39">
        <f>$L80-SUM($C$12:$C80)</f>
        <v>13451.214946267224</v>
      </c>
      <c r="N80" s="62">
        <f t="shared" si="26"/>
        <v>0.33306507830577559</v>
      </c>
    </row>
    <row r="81" spans="1:14" ht="15.95" customHeight="1">
      <c r="A81" s="21" t="s">
        <v>89</v>
      </c>
      <c r="B81" s="39">
        <f t="shared" si="16"/>
        <v>133822.55776000003</v>
      </c>
      <c r="C81" s="11">
        <f t="shared" si="16"/>
        <v>452.3202452288001</v>
      </c>
      <c r="D81" s="11">
        <f t="shared" si="25"/>
        <v>27387.251498048008</v>
      </c>
      <c r="E81" s="11">
        <f t="shared" si="19"/>
        <v>33455.639440000006</v>
      </c>
      <c r="F81" s="11">
        <f t="shared" si="17"/>
        <v>6068.3879419519981</v>
      </c>
      <c r="G81" s="12">
        <f t="shared" si="20"/>
        <v>0.22157710650097601</v>
      </c>
      <c r="H81" s="36">
        <f t="shared" si="18"/>
        <v>100581.03441241602</v>
      </c>
      <c r="I81" s="19">
        <f t="shared" si="21"/>
        <v>25145.258603104005</v>
      </c>
      <c r="J81" s="19">
        <f t="shared" si="22"/>
        <v>-2241.9928949440036</v>
      </c>
      <c r="K81" s="13">
        <f t="shared" si="23"/>
        <v>-8.1862646753866439E-2</v>
      </c>
      <c r="L81" s="39">
        <f t="shared" si="24"/>
        <v>41316.369174337757</v>
      </c>
      <c r="M81" s="39">
        <f>$L81-SUM($C$12:$C81)</f>
        <v>13929.117676289748</v>
      </c>
      <c r="N81" s="62">
        <f t="shared" si="26"/>
        <v>0.33713314975753828</v>
      </c>
    </row>
    <row r="82" spans="1:14" ht="15.95" customHeight="1">
      <c r="A82" s="21" t="s">
        <v>90</v>
      </c>
      <c r="B82" s="39">
        <f t="shared" si="16"/>
        <v>133822.55776000003</v>
      </c>
      <c r="C82" s="11">
        <f t="shared" si="16"/>
        <v>452.3202452288001</v>
      </c>
      <c r="D82" s="11">
        <f t="shared" si="25"/>
        <v>27839.571743276807</v>
      </c>
      <c r="E82" s="11">
        <f t="shared" si="19"/>
        <v>33455.639440000006</v>
      </c>
      <c r="F82" s="11">
        <f t="shared" si="17"/>
        <v>5616.0676967231993</v>
      </c>
      <c r="G82" s="12">
        <f t="shared" si="20"/>
        <v>0.2017296727303094</v>
      </c>
      <c r="H82" s="36">
        <f t="shared" si="18"/>
        <v>100581.03441241602</v>
      </c>
      <c r="I82" s="19">
        <f t="shared" si="21"/>
        <v>25145.258603104005</v>
      </c>
      <c r="J82" s="19">
        <f t="shared" si="22"/>
        <v>-2694.3131401728024</v>
      </c>
      <c r="K82" s="13">
        <f t="shared" si="23"/>
        <v>-9.6779977975899462E-2</v>
      </c>
      <c r="L82" s="39">
        <f t="shared" si="24"/>
        <v>42257.599788129555</v>
      </c>
      <c r="M82" s="39">
        <f>$L82-SUM($C$12:$C82)</f>
        <v>14418.028044852748</v>
      </c>
      <c r="N82" s="62">
        <f t="shared" si="26"/>
        <v>0.34119372887105787</v>
      </c>
    </row>
    <row r="83" spans="1:14" ht="15.95" customHeight="1">
      <c r="A83" s="17" t="s">
        <v>91</v>
      </c>
      <c r="B83" s="40">
        <f t="shared" si="16"/>
        <v>133822.55776000003</v>
      </c>
      <c r="C83" s="15">
        <f t="shared" si="16"/>
        <v>452.3202452288001</v>
      </c>
      <c r="D83" s="15">
        <f t="shared" si="25"/>
        <v>28291.891988505606</v>
      </c>
      <c r="E83" s="15">
        <f t="shared" si="19"/>
        <v>33455.639440000006</v>
      </c>
      <c r="F83" s="15">
        <f t="shared" si="17"/>
        <v>5163.7474514944006</v>
      </c>
      <c r="G83" s="16">
        <f t="shared" si="20"/>
        <v>0.18251686573638559</v>
      </c>
      <c r="H83" s="37">
        <f t="shared" si="18"/>
        <v>100581.03441241602</v>
      </c>
      <c r="I83" s="23">
        <f t="shared" si="21"/>
        <v>25145.258603104005</v>
      </c>
      <c r="J83" s="23">
        <f t="shared" si="22"/>
        <v>-3146.6333854016011</v>
      </c>
      <c r="K83" s="24">
        <f t="shared" si="23"/>
        <v>-0.1112203237125326</v>
      </c>
      <c r="L83" s="58">
        <f t="shared" si="24"/>
        <v>43209.968297517895</v>
      </c>
      <c r="M83" s="58">
        <f>$L83-SUM($C$12:$C83)</f>
        <v>14918.076309012289</v>
      </c>
      <c r="N83" s="63">
        <f t="shared" si="26"/>
        <v>0.34524617575035865</v>
      </c>
    </row>
    <row r="84" spans="1:14" ht="15.95" customHeight="1">
      <c r="A84" s="21" t="s">
        <v>92</v>
      </c>
      <c r="B84" s="39">
        <f>B83*(1+$F$8)</f>
        <v>141851.91122560002</v>
      </c>
      <c r="C84" s="11">
        <f>C83*(1+$F$8)</f>
        <v>479.45945994252816</v>
      </c>
      <c r="D84" s="11">
        <f t="shared" si="25"/>
        <v>28771.351448448135</v>
      </c>
      <c r="E84" s="11">
        <f t="shared" si="19"/>
        <v>35462.977806400006</v>
      </c>
      <c r="F84" s="11">
        <f t="shared" si="17"/>
        <v>6691.6263579518709</v>
      </c>
      <c r="G84" s="12">
        <f t="shared" si="20"/>
        <v>0.23257949387402874</v>
      </c>
      <c r="H84" s="36">
        <f t="shared" si="18"/>
        <v>106615.89647716098</v>
      </c>
      <c r="I84" s="19">
        <f t="shared" si="21"/>
        <v>26653.974119290244</v>
      </c>
      <c r="J84" s="19">
        <f t="shared" si="22"/>
        <v>-2117.3773291578909</v>
      </c>
      <c r="K84" s="13">
        <f t="shared" si="23"/>
        <v>-7.359325240428001E-2</v>
      </c>
      <c r="L84" s="39">
        <f t="shared" si="24"/>
        <v>44200.745715647718</v>
      </c>
      <c r="M84" s="39">
        <f>$L84-SUM($C$12:$C84)</f>
        <v>15429.394267199583</v>
      </c>
      <c r="N84" s="62">
        <f t="shared" si="26"/>
        <v>0.3490754288730778</v>
      </c>
    </row>
    <row r="85" spans="1:14" ht="15.95" customHeight="1">
      <c r="A85" s="21" t="s">
        <v>93</v>
      </c>
      <c r="B85" s="39">
        <f>B84</f>
        <v>141851.91122560002</v>
      </c>
      <c r="C85" s="11">
        <f t="shared" si="16"/>
        <v>479.45945994252816</v>
      </c>
      <c r="D85" s="11">
        <f t="shared" si="25"/>
        <v>29250.810908390664</v>
      </c>
      <c r="E85" s="11">
        <f t="shared" si="19"/>
        <v>35462.977806400006</v>
      </c>
      <c r="F85" s="11">
        <f t="shared" si="17"/>
        <v>6212.1668980093418</v>
      </c>
      <c r="G85" s="14">
        <f t="shared" si="20"/>
        <v>0.21237588651695694</v>
      </c>
      <c r="H85" s="36">
        <f t="shared" si="18"/>
        <v>106615.89647716098</v>
      </c>
      <c r="I85" s="18">
        <f t="shared" si="21"/>
        <v>26653.974119290244</v>
      </c>
      <c r="J85" s="18">
        <f t="shared" si="22"/>
        <v>-2596.83678910042</v>
      </c>
      <c r="K85" s="13">
        <f t="shared" si="23"/>
        <v>-8.8778283693855181E-2</v>
      </c>
      <c r="L85" s="39">
        <f t="shared" si="24"/>
        <v>45203.247333225409</v>
      </c>
      <c r="M85" s="39">
        <f>$L85-SUM($C$12:$C85)</f>
        <v>15952.436424834745</v>
      </c>
      <c r="N85" s="62">
        <f t="shared" si="26"/>
        <v>0.352904655438534</v>
      </c>
    </row>
    <row r="86" spans="1:14" ht="15.95" customHeight="1">
      <c r="A86" s="21" t="s">
        <v>94</v>
      </c>
      <c r="B86" s="39">
        <f t="shared" ref="B86:C101" si="27">B85</f>
        <v>141851.91122560002</v>
      </c>
      <c r="C86" s="11">
        <f t="shared" si="16"/>
        <v>479.45945994252816</v>
      </c>
      <c r="D86" s="11">
        <f t="shared" si="25"/>
        <v>29730.270368333193</v>
      </c>
      <c r="E86" s="11">
        <f t="shared" si="19"/>
        <v>35462.977806400006</v>
      </c>
      <c r="F86" s="11">
        <f t="shared" si="17"/>
        <v>5732.7074380668128</v>
      </c>
      <c r="G86" s="14">
        <f t="shared" si="20"/>
        <v>0.19282392548212177</v>
      </c>
      <c r="H86" s="36">
        <f t="shared" si="18"/>
        <v>106615.89647716098</v>
      </c>
      <c r="I86" s="19">
        <f t="shared" si="21"/>
        <v>26653.974119290244</v>
      </c>
      <c r="J86" s="19">
        <f t="shared" si="22"/>
        <v>-3076.2962490429491</v>
      </c>
      <c r="K86" s="13">
        <f t="shared" si="23"/>
        <v>-0.10347353760763729</v>
      </c>
      <c r="L86" s="39">
        <f t="shared" si="24"/>
        <v>46217.611886611099</v>
      </c>
      <c r="M86" s="39">
        <f>$L86-SUM($C$12:$C86)</f>
        <v>16487.341518277906</v>
      </c>
      <c r="N86" s="62">
        <f t="shared" si="26"/>
        <v>0.3567328740119125</v>
      </c>
    </row>
    <row r="87" spans="1:14" ht="15.95" customHeight="1">
      <c r="A87" s="21" t="s">
        <v>95</v>
      </c>
      <c r="B87" s="39">
        <f t="shared" si="27"/>
        <v>141851.91122560002</v>
      </c>
      <c r="C87" s="11">
        <f t="shared" si="16"/>
        <v>479.45945994252816</v>
      </c>
      <c r="D87" s="11">
        <f t="shared" si="25"/>
        <v>30209.729828275722</v>
      </c>
      <c r="E87" s="11">
        <f t="shared" si="19"/>
        <v>35462.977806400006</v>
      </c>
      <c r="F87" s="11">
        <f t="shared" si="17"/>
        <v>5253.2479781242837</v>
      </c>
      <c r="G87" s="12">
        <f t="shared" si="20"/>
        <v>0.17389258387896422</v>
      </c>
      <c r="H87" s="36">
        <f t="shared" si="18"/>
        <v>106615.89647716098</v>
      </c>
      <c r="I87" s="19">
        <f t="shared" si="21"/>
        <v>26653.974119290244</v>
      </c>
      <c r="J87" s="19">
        <f t="shared" si="22"/>
        <v>-3555.7557089854781</v>
      </c>
      <c r="K87" s="13">
        <f t="shared" si="23"/>
        <v>-0.1177023339565705</v>
      </c>
      <c r="L87" s="39">
        <f t="shared" si="24"/>
        <v>47243.979753878521</v>
      </c>
      <c r="M87" s="39">
        <f>$L87-SUM($C$12:$C87)</f>
        <v>17034.249925602799</v>
      </c>
      <c r="N87" s="62">
        <f t="shared" si="26"/>
        <v>0.36055916572532953</v>
      </c>
    </row>
    <row r="88" spans="1:14" ht="15.95" customHeight="1">
      <c r="A88" s="21" t="s">
        <v>96</v>
      </c>
      <c r="B88" s="39">
        <f t="shared" si="27"/>
        <v>141851.91122560002</v>
      </c>
      <c r="C88" s="11">
        <f t="shared" si="16"/>
        <v>479.45945994252816</v>
      </c>
      <c r="D88" s="11">
        <f t="shared" si="25"/>
        <v>30689.189288218251</v>
      </c>
      <c r="E88" s="11">
        <f t="shared" si="19"/>
        <v>35462.977806400006</v>
      </c>
      <c r="F88" s="11">
        <f t="shared" si="17"/>
        <v>4773.7885181817546</v>
      </c>
      <c r="G88" s="12">
        <f t="shared" si="20"/>
        <v>0.15555277375849216</v>
      </c>
      <c r="H88" s="36">
        <f t="shared" si="18"/>
        <v>106615.89647716098</v>
      </c>
      <c r="I88" s="19">
        <f t="shared" si="21"/>
        <v>26653.974119290244</v>
      </c>
      <c r="J88" s="19">
        <f t="shared" si="22"/>
        <v>-4035.2151689280072</v>
      </c>
      <c r="K88" s="13">
        <f t="shared" si="23"/>
        <v>-0.13148653524311732</v>
      </c>
      <c r="L88" s="39">
        <f t="shared" si="24"/>
        <v>48282.492974241941</v>
      </c>
      <c r="M88" s="39">
        <f>$L88-SUM($C$12:$C88)</f>
        <v>17593.30368602369</v>
      </c>
      <c r="N88" s="62">
        <f t="shared" si="26"/>
        <v>0.36438266962332455</v>
      </c>
    </row>
    <row r="89" spans="1:14" ht="15.95" customHeight="1">
      <c r="A89" s="21" t="s">
        <v>97</v>
      </c>
      <c r="B89" s="39">
        <f t="shared" si="27"/>
        <v>141851.91122560002</v>
      </c>
      <c r="C89" s="11">
        <f t="shared" si="16"/>
        <v>479.45945994252816</v>
      </c>
      <c r="D89" s="11">
        <f t="shared" si="25"/>
        <v>31168.64874816078</v>
      </c>
      <c r="E89" s="11">
        <f t="shared" si="19"/>
        <v>35462.977806400006</v>
      </c>
      <c r="F89" s="11">
        <f t="shared" si="17"/>
        <v>4294.3290582392256</v>
      </c>
      <c r="G89" s="12">
        <f t="shared" si="20"/>
        <v>0.13777719698203561</v>
      </c>
      <c r="H89" s="36">
        <f t="shared" si="18"/>
        <v>106615.89647716098</v>
      </c>
      <c r="I89" s="19">
        <f t="shared" si="21"/>
        <v>26653.974119290244</v>
      </c>
      <c r="J89" s="19">
        <f t="shared" si="22"/>
        <v>-4514.6746288705363</v>
      </c>
      <c r="K89" s="13">
        <f t="shared" si="23"/>
        <v>-0.14484665874830205</v>
      </c>
      <c r="L89" s="39">
        <f t="shared" si="24"/>
        <v>49333.295267712994</v>
      </c>
      <c r="M89" s="39">
        <f>$L89-SUM($C$12:$C89)</f>
        <v>18164.646519552214</v>
      </c>
      <c r="N89" s="62">
        <f t="shared" si="26"/>
        <v>0.36820257842050891</v>
      </c>
    </row>
    <row r="90" spans="1:14" ht="15.95" customHeight="1">
      <c r="A90" s="21" t="s">
        <v>98</v>
      </c>
      <c r="B90" s="39">
        <f t="shared" si="27"/>
        <v>141851.91122560002</v>
      </c>
      <c r="C90" s="11">
        <f t="shared" si="27"/>
        <v>479.45945994252816</v>
      </c>
      <c r="D90" s="11">
        <f t="shared" si="25"/>
        <v>31648.108208103309</v>
      </c>
      <c r="E90" s="11">
        <f t="shared" si="19"/>
        <v>35462.977806400006</v>
      </c>
      <c r="F90" s="11">
        <f t="shared" si="17"/>
        <v>3814.8695982966965</v>
      </c>
      <c r="G90" s="12">
        <f t="shared" si="20"/>
        <v>0.12054020964576713</v>
      </c>
      <c r="H90" s="36">
        <f t="shared" si="18"/>
        <v>106615.89647716098</v>
      </c>
      <c r="I90" s="19">
        <f t="shared" si="21"/>
        <v>26653.974119290244</v>
      </c>
      <c r="J90" s="19">
        <f t="shared" si="22"/>
        <v>-4994.1340888130653</v>
      </c>
      <c r="K90" s="13">
        <f t="shared" si="23"/>
        <v>-0.15780197843024144</v>
      </c>
      <c r="L90" s="39">
        <f t="shared" si="24"/>
        <v>50396.532054990123</v>
      </c>
      <c r="M90" s="39">
        <f>$L90-SUM($C$12:$C90)</f>
        <v>18748.423846886813</v>
      </c>
      <c r="N90" s="62">
        <f t="shared" si="26"/>
        <v>0.37201813462937272</v>
      </c>
    </row>
    <row r="91" spans="1:14" ht="15.95" customHeight="1">
      <c r="A91" s="21" t="s">
        <v>99</v>
      </c>
      <c r="B91" s="39">
        <f t="shared" si="27"/>
        <v>141851.91122560002</v>
      </c>
      <c r="C91" s="11">
        <f t="shared" si="27"/>
        <v>479.45945994252816</v>
      </c>
      <c r="D91" s="11">
        <f t="shared" si="25"/>
        <v>32127.567668045838</v>
      </c>
      <c r="E91" s="11">
        <f t="shared" si="19"/>
        <v>35462.977806400006</v>
      </c>
      <c r="F91" s="11">
        <f t="shared" si="17"/>
        <v>3335.4101383541674</v>
      </c>
      <c r="G91" s="12">
        <f t="shared" si="20"/>
        <v>0.10381769864487983</v>
      </c>
      <c r="H91" s="36">
        <f t="shared" si="18"/>
        <v>106615.89647716098</v>
      </c>
      <c r="I91" s="19">
        <f t="shared" si="21"/>
        <v>26653.974119290244</v>
      </c>
      <c r="J91" s="19">
        <f t="shared" si="22"/>
        <v>-5473.5935487555944</v>
      </c>
      <c r="K91" s="13">
        <f t="shared" si="23"/>
        <v>-0.17037061769850834</v>
      </c>
      <c r="L91" s="39">
        <f t="shared" si="24"/>
        <v>51472.350477583364</v>
      </c>
      <c r="M91" s="39">
        <f>$L91-SUM($C$12:$C91)</f>
        <v>19344.782809537526</v>
      </c>
      <c r="N91" s="62">
        <f t="shared" si="26"/>
        <v>0.37582862702107106</v>
      </c>
    </row>
    <row r="92" spans="1:14" ht="15.95" customHeight="1">
      <c r="A92" s="21" t="s">
        <v>100</v>
      </c>
      <c r="B92" s="39">
        <f t="shared" si="27"/>
        <v>141851.91122560002</v>
      </c>
      <c r="C92" s="11">
        <f t="shared" si="27"/>
        <v>479.45945994252816</v>
      </c>
      <c r="D92" s="11">
        <f t="shared" si="25"/>
        <v>32607.027127988367</v>
      </c>
      <c r="E92" s="11">
        <f t="shared" si="19"/>
        <v>35462.977806400006</v>
      </c>
      <c r="F92" s="11">
        <f t="shared" si="17"/>
        <v>2855.9506784116384</v>
      </c>
      <c r="G92" s="12">
        <f t="shared" si="20"/>
        <v>8.7586969127897651E-2</v>
      </c>
      <c r="H92" s="36">
        <f t="shared" si="18"/>
        <v>106615.89647716098</v>
      </c>
      <c r="I92" s="19">
        <f t="shared" si="21"/>
        <v>26653.974119290244</v>
      </c>
      <c r="J92" s="19">
        <f t="shared" si="22"/>
        <v>-5953.0530086981234</v>
      </c>
      <c r="K92" s="13">
        <f t="shared" si="23"/>
        <v>-0.18256963400347215</v>
      </c>
      <c r="L92" s="39">
        <f t="shared" si="24"/>
        <v>52560.899418177294</v>
      </c>
      <c r="M92" s="39">
        <f>$L92-SUM($C$12:$C92)</f>
        <v>19953.872290188927</v>
      </c>
      <c r="N92" s="62">
        <f t="shared" si="26"/>
        <v>0.37963338738621771</v>
      </c>
    </row>
    <row r="93" spans="1:14" ht="15.95" customHeight="1">
      <c r="A93" s="21" t="s">
        <v>101</v>
      </c>
      <c r="B93" s="39">
        <f t="shared" si="27"/>
        <v>141851.91122560002</v>
      </c>
      <c r="C93" s="11">
        <f t="shared" si="27"/>
        <v>479.45945994252816</v>
      </c>
      <c r="D93" s="11">
        <f t="shared" si="25"/>
        <v>33086.486587930893</v>
      </c>
      <c r="E93" s="11">
        <f t="shared" si="19"/>
        <v>35462.977806400006</v>
      </c>
      <c r="F93" s="11">
        <f t="shared" si="17"/>
        <v>2376.4912184691129</v>
      </c>
      <c r="G93" s="12">
        <f t="shared" si="20"/>
        <v>7.1826641736448274E-2</v>
      </c>
      <c r="H93" s="36">
        <f t="shared" si="18"/>
        <v>106615.89647716098</v>
      </c>
      <c r="I93" s="19">
        <f t="shared" si="21"/>
        <v>26653.974119290244</v>
      </c>
      <c r="J93" s="19">
        <f t="shared" si="22"/>
        <v>-6432.5124686406489</v>
      </c>
      <c r="K93" s="13">
        <f t="shared" si="23"/>
        <v>-0.1944150960708855</v>
      </c>
      <c r="L93" s="39">
        <f t="shared" si="24"/>
        <v>53662.329521234919</v>
      </c>
      <c r="M93" s="39">
        <f>$L93-SUM($C$12:$C93)</f>
        <v>20575.842933304026</v>
      </c>
      <c r="N93" s="62">
        <f t="shared" si="26"/>
        <v>0.38343178756639484</v>
      </c>
    </row>
    <row r="94" spans="1:14" ht="15.95" customHeight="1">
      <c r="A94" s="21" t="s">
        <v>102</v>
      </c>
      <c r="B94" s="39">
        <f t="shared" si="27"/>
        <v>141851.91122560002</v>
      </c>
      <c r="C94" s="11">
        <f t="shared" si="27"/>
        <v>479.45945994252816</v>
      </c>
      <c r="D94" s="11">
        <f t="shared" si="25"/>
        <v>33565.946047873418</v>
      </c>
      <c r="E94" s="11">
        <f t="shared" si="19"/>
        <v>35462.977806400006</v>
      </c>
      <c r="F94" s="11">
        <f t="shared" si="17"/>
        <v>1897.0317585265875</v>
      </c>
      <c r="G94" s="12">
        <f t="shared" si="20"/>
        <v>5.6516558652062024E-2</v>
      </c>
      <c r="H94" s="36">
        <f t="shared" si="18"/>
        <v>106615.89647716098</v>
      </c>
      <c r="I94" s="19">
        <f t="shared" si="21"/>
        <v>26653.974119290244</v>
      </c>
      <c r="J94" s="19">
        <f t="shared" si="22"/>
        <v>-6911.9719285831743</v>
      </c>
      <c r="K94" s="13">
        <f t="shared" si="23"/>
        <v>-0.20592215451711018</v>
      </c>
      <c r="L94" s="39">
        <f t="shared" si="24"/>
        <v>54776.793213845391</v>
      </c>
      <c r="M94" s="39">
        <f>$L94-SUM($C$12:$C94)</f>
        <v>21210.847165971973</v>
      </c>
      <c r="N94" s="62">
        <f t="shared" si="26"/>
        <v>0.38722323673030784</v>
      </c>
    </row>
    <row r="95" spans="1:14" ht="15.95" customHeight="1">
      <c r="A95" s="17" t="s">
        <v>103</v>
      </c>
      <c r="B95" s="40">
        <f t="shared" si="27"/>
        <v>141851.91122560002</v>
      </c>
      <c r="C95" s="15">
        <f t="shared" si="27"/>
        <v>479.45945994252816</v>
      </c>
      <c r="D95" s="15">
        <f t="shared" si="25"/>
        <v>34045.405507815944</v>
      </c>
      <c r="E95" s="15">
        <f t="shared" si="19"/>
        <v>35462.977806400006</v>
      </c>
      <c r="F95" s="15">
        <f t="shared" si="17"/>
        <v>1417.5722985840621</v>
      </c>
      <c r="G95" s="16">
        <f t="shared" si="20"/>
        <v>4.1637697581796293E-2</v>
      </c>
      <c r="H95" s="37">
        <f t="shared" si="18"/>
        <v>106615.89647716098</v>
      </c>
      <c r="I95" s="23">
        <f t="shared" si="21"/>
        <v>26653.974119290244</v>
      </c>
      <c r="J95" s="23">
        <f t="shared" si="22"/>
        <v>-7391.4313885256997</v>
      </c>
      <c r="K95" s="24">
        <f t="shared" si="23"/>
        <v>-0.21710510649752193</v>
      </c>
      <c r="L95" s="58">
        <f t="shared" si="24"/>
        <v>55904.444726818423</v>
      </c>
      <c r="M95" s="58">
        <f>$L95-SUM($C$12:$C95)</f>
        <v>21859.03921900248</v>
      </c>
      <c r="N95" s="63">
        <f t="shared" si="26"/>
        <v>0.391007178871348</v>
      </c>
    </row>
    <row r="96" spans="1:14" ht="15.95" customHeight="1">
      <c r="A96" s="21" t="s">
        <v>104</v>
      </c>
      <c r="B96" s="39">
        <f>B95*(1+$F$8)</f>
        <v>150363.02589913603</v>
      </c>
      <c r="C96" s="11">
        <f>C95*(1+$F$8)</f>
        <v>508.22702753907987</v>
      </c>
      <c r="D96" s="11">
        <f t="shared" si="25"/>
        <v>34553.63253535502</v>
      </c>
      <c r="E96" s="11">
        <f t="shared" si="19"/>
        <v>37590.756474784008</v>
      </c>
      <c r="F96" s="11">
        <f t="shared" si="17"/>
        <v>3037.1239394289878</v>
      </c>
      <c r="G96" s="12">
        <f t="shared" si="20"/>
        <v>8.7895937896585119E-2</v>
      </c>
      <c r="H96" s="36">
        <f t="shared" si="18"/>
        <v>113012.85026579065</v>
      </c>
      <c r="I96" s="19">
        <f t="shared" si="21"/>
        <v>28253.212566447663</v>
      </c>
      <c r="J96" s="19">
        <f t="shared" si="22"/>
        <v>-6300.4199689073575</v>
      </c>
      <c r="K96" s="13">
        <f t="shared" si="23"/>
        <v>-0.18233741307692655</v>
      </c>
      <c r="L96" s="39">
        <f t="shared" si="24"/>
        <v>57074.207683624853</v>
      </c>
      <c r="M96" s="39">
        <f>$L96-SUM($C$12:$C96)</f>
        <v>22520.575148269832</v>
      </c>
      <c r="N96" s="62">
        <f t="shared" si="26"/>
        <v>0.3945841048395527</v>
      </c>
    </row>
    <row r="97" spans="1:14" ht="15.95" customHeight="1">
      <c r="A97" s="21" t="s">
        <v>105</v>
      </c>
      <c r="B97" s="39">
        <f>B96</f>
        <v>150363.02589913603</v>
      </c>
      <c r="C97" s="11">
        <f t="shared" si="27"/>
        <v>508.22702753907987</v>
      </c>
      <c r="D97" s="11">
        <f t="shared" si="25"/>
        <v>35061.859562894097</v>
      </c>
      <c r="E97" s="11">
        <f t="shared" si="19"/>
        <v>37590.756474784008</v>
      </c>
      <c r="F97" s="11">
        <f t="shared" si="17"/>
        <v>2528.8969118899113</v>
      </c>
      <c r="G97" s="14">
        <f t="shared" si="20"/>
        <v>7.2126719558429767E-2</v>
      </c>
      <c r="H97" s="36">
        <f t="shared" si="18"/>
        <v>113012.85026579065</v>
      </c>
      <c r="I97" s="18">
        <f t="shared" si="21"/>
        <v>28253.212566447663</v>
      </c>
      <c r="J97" s="18">
        <f t="shared" si="22"/>
        <v>-6808.6469964464341</v>
      </c>
      <c r="K97" s="13">
        <f t="shared" si="23"/>
        <v>-0.19418955757988413</v>
      </c>
      <c r="L97" s="39">
        <f t="shared" si="24"/>
        <v>58257.812835420162</v>
      </c>
      <c r="M97" s="39">
        <f>$L97-SUM($C$12:$C97)</f>
        <v>23195.953272526065</v>
      </c>
      <c r="N97" s="62">
        <f t="shared" si="26"/>
        <v>0.39816038645417806</v>
      </c>
    </row>
    <row r="98" spans="1:14" ht="15.95" customHeight="1">
      <c r="A98" s="21" t="s">
        <v>106</v>
      </c>
      <c r="B98" s="39">
        <f t="shared" ref="B98:C107" si="28">B97</f>
        <v>150363.02589913603</v>
      </c>
      <c r="C98" s="11">
        <f t="shared" si="27"/>
        <v>508.22702753907987</v>
      </c>
      <c r="D98" s="11">
        <f t="shared" si="25"/>
        <v>35570.086590433173</v>
      </c>
      <c r="E98" s="11">
        <f t="shared" si="19"/>
        <v>37590.756474784008</v>
      </c>
      <c r="F98" s="11">
        <f t="shared" si="17"/>
        <v>2020.6698843508348</v>
      </c>
      <c r="G98" s="14">
        <f t="shared" si="20"/>
        <v>5.6808123849052095E-2</v>
      </c>
      <c r="H98" s="36">
        <f t="shared" si="18"/>
        <v>113012.85026579065</v>
      </c>
      <c r="I98" s="19">
        <f t="shared" si="21"/>
        <v>28253.212566447663</v>
      </c>
      <c r="J98" s="19">
        <f t="shared" si="22"/>
        <v>-7316.8740239855106</v>
      </c>
      <c r="K98" s="13">
        <f t="shared" si="23"/>
        <v>-0.20570301411505237</v>
      </c>
      <c r="L98" s="39">
        <f t="shared" si="24"/>
        <v>59455.423981511711</v>
      </c>
      <c r="M98" s="39">
        <f>$L98-SUM($C$12:$C98)</f>
        <v>23885.337391078538</v>
      </c>
      <c r="N98" s="62">
        <f t="shared" si="26"/>
        <v>0.40173521256035338</v>
      </c>
    </row>
    <row r="99" spans="1:14" ht="15.95" customHeight="1">
      <c r="A99" s="21" t="s">
        <v>107</v>
      </c>
      <c r="B99" s="39">
        <f t="shared" si="28"/>
        <v>150363.02589913603</v>
      </c>
      <c r="C99" s="11">
        <f t="shared" si="27"/>
        <v>508.22702753907987</v>
      </c>
      <c r="D99" s="11">
        <f t="shared" si="25"/>
        <v>36078.31361797225</v>
      </c>
      <c r="E99" s="11">
        <f t="shared" si="19"/>
        <v>37590.756474784008</v>
      </c>
      <c r="F99" s="11">
        <f t="shared" si="17"/>
        <v>1512.4428568117582</v>
      </c>
      <c r="G99" s="12">
        <f t="shared" si="20"/>
        <v>4.192110731190999E-2</v>
      </c>
      <c r="H99" s="36">
        <f t="shared" si="18"/>
        <v>113012.85026579065</v>
      </c>
      <c r="I99" s="19">
        <f t="shared" si="21"/>
        <v>28253.212566447663</v>
      </c>
      <c r="J99" s="19">
        <f t="shared" si="22"/>
        <v>-7825.1010515245871</v>
      </c>
      <c r="K99" s="13">
        <f t="shared" si="23"/>
        <v>-0.21689209574436838</v>
      </c>
      <c r="L99" s="39">
        <f t="shared" si="24"/>
        <v>60667.206859498678</v>
      </c>
      <c r="M99" s="39">
        <f>$L99-SUM($C$12:$C99)</f>
        <v>24588.893241526428</v>
      </c>
      <c r="N99" s="62">
        <f t="shared" si="26"/>
        <v>0.40530781808486277</v>
      </c>
    </row>
    <row r="100" spans="1:14" ht="15.95" customHeight="1">
      <c r="A100" s="21" t="s">
        <v>108</v>
      </c>
      <c r="B100" s="39">
        <f t="shared" si="28"/>
        <v>150363.02589913603</v>
      </c>
      <c r="C100" s="11">
        <f t="shared" si="27"/>
        <v>508.22702753907987</v>
      </c>
      <c r="D100" s="11">
        <f t="shared" si="25"/>
        <v>36586.540645511326</v>
      </c>
      <c r="E100" s="11">
        <f t="shared" si="19"/>
        <v>37590.756474784008</v>
      </c>
      <c r="F100" s="11">
        <f t="shared" si="17"/>
        <v>1004.2158292726817</v>
      </c>
      <c r="G100" s="12">
        <f t="shared" si="20"/>
        <v>2.7447684628141674E-2</v>
      </c>
      <c r="H100" s="36">
        <f t="shared" si="18"/>
        <v>113012.85026579065</v>
      </c>
      <c r="I100" s="19">
        <f t="shared" si="21"/>
        <v>28253.212566447663</v>
      </c>
      <c r="J100" s="19">
        <f t="shared" si="22"/>
        <v>-8333.3280790636636</v>
      </c>
      <c r="K100" s="13">
        <f t="shared" si="23"/>
        <v>-0.22777032023348867</v>
      </c>
      <c r="L100" s="39">
        <f t="shared" si="24"/>
        <v>61893.329168208489</v>
      </c>
      <c r="M100" s="39">
        <f>$L100-SUM($C$12:$C100)</f>
        <v>25306.788522697163</v>
      </c>
      <c r="N100" s="62">
        <f t="shared" si="26"/>
        <v>0.40887748102740601</v>
      </c>
    </row>
    <row r="101" spans="1:14" ht="15.95" customHeight="1">
      <c r="A101" s="21" t="s">
        <v>109</v>
      </c>
      <c r="B101" s="39">
        <f t="shared" si="28"/>
        <v>150363.02589913603</v>
      </c>
      <c r="C101" s="11">
        <f t="shared" si="27"/>
        <v>508.22702753907987</v>
      </c>
      <c r="D101" s="11">
        <f t="shared" si="25"/>
        <v>37094.767673050403</v>
      </c>
      <c r="E101" s="11">
        <f t="shared" si="19"/>
        <v>37590.756474784008</v>
      </c>
      <c r="F101" s="11">
        <f t="shared" si="17"/>
        <v>495.98880173360521</v>
      </c>
      <c r="G101" s="12">
        <f t="shared" si="20"/>
        <v>1.3370856130039721E-2</v>
      </c>
      <c r="H101" s="36">
        <f t="shared" si="18"/>
        <v>113012.85026579065</v>
      </c>
      <c r="I101" s="19">
        <f t="shared" si="21"/>
        <v>28253.212566447663</v>
      </c>
      <c r="J101" s="19">
        <f t="shared" si="22"/>
        <v>-8841.5551066027401</v>
      </c>
      <c r="K101" s="13">
        <f t="shared" si="23"/>
        <v>-0.23835046453266209</v>
      </c>
      <c r="L101" s="39">
        <f t="shared" si="24"/>
        <v>63133.960590904702</v>
      </c>
      <c r="M101" s="39">
        <f>$L101-SUM($C$12:$C101)</f>
        <v>26039.1929178543</v>
      </c>
      <c r="N101" s="62">
        <f t="shared" si="26"/>
        <v>0.41244351968638565</v>
      </c>
    </row>
    <row r="102" spans="1:14" ht="15.95" customHeight="1">
      <c r="A102" s="21" t="s">
        <v>110</v>
      </c>
      <c r="B102" s="39">
        <f t="shared" si="28"/>
        <v>150363.02589913603</v>
      </c>
      <c r="C102" s="11">
        <f t="shared" si="28"/>
        <v>508.22702753907987</v>
      </c>
      <c r="D102" s="11">
        <f t="shared" si="25"/>
        <v>37602.994700589479</v>
      </c>
      <c r="E102" s="11">
        <f t="shared" si="19"/>
        <v>37590.756474784008</v>
      </c>
      <c r="F102" s="11">
        <f t="shared" si="17"/>
        <v>-12.238225805471302</v>
      </c>
      <c r="G102" s="12">
        <f t="shared" si="20"/>
        <v>-3.2545880728162993E-4</v>
      </c>
      <c r="H102" s="36">
        <f t="shared" si="18"/>
        <v>113012.85026579065</v>
      </c>
      <c r="I102" s="19">
        <f t="shared" si="21"/>
        <v>28253.212566447663</v>
      </c>
      <c r="J102" s="19">
        <f t="shared" si="22"/>
        <v>-9349.7821341418166</v>
      </c>
      <c r="K102" s="13">
        <f t="shared" si="23"/>
        <v>-0.2486446148395528</v>
      </c>
      <c r="L102" s="39">
        <f t="shared" si="24"/>
        <v>64389.272818769488</v>
      </c>
      <c r="M102" s="39">
        <f>$L102-SUM($C$12:$C102)</f>
        <v>26786.278118180009</v>
      </c>
      <c r="N102" s="62">
        <f t="shared" si="26"/>
        <v>0.41600529009813264</v>
      </c>
    </row>
    <row r="103" spans="1:14" ht="15.95" customHeight="1">
      <c r="A103" s="21" t="s">
        <v>111</v>
      </c>
      <c r="B103" s="39">
        <f t="shared" si="28"/>
        <v>150363.02589913603</v>
      </c>
      <c r="C103" s="11">
        <f t="shared" si="28"/>
        <v>508.22702753907987</v>
      </c>
      <c r="D103" s="11">
        <f t="shared" si="25"/>
        <v>38111.221728128556</v>
      </c>
      <c r="E103" s="11">
        <f t="shared" si="19"/>
        <v>37590.756474784008</v>
      </c>
      <c r="F103" s="11">
        <f t="shared" si="17"/>
        <v>-520.46525334454782</v>
      </c>
      <c r="G103" s="12">
        <f t="shared" si="20"/>
        <v>-1.365648304474088E-2</v>
      </c>
      <c r="H103" s="36">
        <f t="shared" si="18"/>
        <v>113012.85026579065</v>
      </c>
      <c r="I103" s="19">
        <f t="shared" si="21"/>
        <v>28253.212566447663</v>
      </c>
      <c r="J103" s="19">
        <f t="shared" si="22"/>
        <v>-9858.0091616808932</v>
      </c>
      <c r="K103" s="13">
        <f t="shared" si="23"/>
        <v>-0.25866421265642719</v>
      </c>
      <c r="L103" s="39">
        <f t="shared" si="24"/>
        <v>65659.439574664008</v>
      </c>
      <c r="M103" s="39">
        <f>$L103-SUM($C$12:$C103)</f>
        <v>27548.217846535452</v>
      </c>
      <c r="N103" s="62">
        <f t="shared" si="26"/>
        <v>0.41956218367062453</v>
      </c>
    </row>
    <row r="104" spans="1:14" ht="15.95" customHeight="1">
      <c r="A104" s="21" t="s">
        <v>112</v>
      </c>
      <c r="B104" s="39">
        <f t="shared" si="28"/>
        <v>150363.02589913603</v>
      </c>
      <c r="C104" s="11">
        <f t="shared" si="28"/>
        <v>508.22702753907987</v>
      </c>
      <c r="D104" s="11">
        <f t="shared" si="25"/>
        <v>38619.448755667632</v>
      </c>
      <c r="E104" s="11">
        <f t="shared" si="19"/>
        <v>37590.756474784008</v>
      </c>
      <c r="F104" s="11">
        <f t="shared" si="17"/>
        <v>-1028.6922808836243</v>
      </c>
      <c r="G104" s="12">
        <f t="shared" si="20"/>
        <v>-2.6636638119612147E-2</v>
      </c>
      <c r="H104" s="36">
        <f t="shared" si="18"/>
        <v>113012.85026579065</v>
      </c>
      <c r="I104" s="19">
        <f t="shared" si="21"/>
        <v>28253.212566447663</v>
      </c>
      <c r="J104" s="19">
        <f t="shared" si="22"/>
        <v>-10366.23618921997</v>
      </c>
      <c r="K104" s="13">
        <f t="shared" si="23"/>
        <v>-0.26842009721070043</v>
      </c>
      <c r="L104" s="39">
        <f t="shared" si="24"/>
        <v>66944.636637169941</v>
      </c>
      <c r="M104" s="39">
        <f>$L104-SUM($C$12:$C104)</f>
        <v>28325.187881502308</v>
      </c>
      <c r="N104" s="62">
        <f t="shared" si="26"/>
        <v>0.42311362499464522</v>
      </c>
    </row>
    <row r="105" spans="1:14" ht="15.95" customHeight="1">
      <c r="A105" s="21" t="s">
        <v>113</v>
      </c>
      <c r="B105" s="39">
        <f t="shared" si="28"/>
        <v>150363.02589913603</v>
      </c>
      <c r="C105" s="11">
        <f t="shared" si="28"/>
        <v>508.22702753907987</v>
      </c>
      <c r="D105" s="11">
        <f t="shared" si="25"/>
        <v>39127.675783206709</v>
      </c>
      <c r="E105" s="11">
        <f t="shared" si="19"/>
        <v>37590.756474784008</v>
      </c>
      <c r="F105" s="11">
        <f t="shared" si="17"/>
        <v>-1536.9193084227009</v>
      </c>
      <c r="G105" s="12">
        <f t="shared" si="20"/>
        <v>-3.9279596287248288E-2</v>
      </c>
      <c r="H105" s="36">
        <f t="shared" si="18"/>
        <v>113012.85026579065</v>
      </c>
      <c r="I105" s="19">
        <f t="shared" si="21"/>
        <v>28253.212566447663</v>
      </c>
      <c r="J105" s="19">
        <f t="shared" si="22"/>
        <v>-10874.463216759046</v>
      </c>
      <c r="K105" s="13">
        <f t="shared" si="23"/>
        <v>-0.27792254456949578</v>
      </c>
      <c r="L105" s="39">
        <f t="shared" si="24"/>
        <v>68245.041864915533</v>
      </c>
      <c r="M105" s="39">
        <f>$L105-SUM($C$12:$C105)</f>
        <v>29117.366081708824</v>
      </c>
      <c r="N105" s="62">
        <f t="shared" si="26"/>
        <v>0.4266590698170255</v>
      </c>
    </row>
    <row r="106" spans="1:14" ht="15.95" customHeight="1">
      <c r="A106" s="21" t="s">
        <v>114</v>
      </c>
      <c r="B106" s="39">
        <f t="shared" si="28"/>
        <v>150363.02589913603</v>
      </c>
      <c r="C106" s="11">
        <f t="shared" si="28"/>
        <v>508.22702753907987</v>
      </c>
      <c r="D106" s="11">
        <f t="shared" si="25"/>
        <v>39635.902810745785</v>
      </c>
      <c r="E106" s="11">
        <f t="shared" si="19"/>
        <v>37590.756474784008</v>
      </c>
      <c r="F106" s="11">
        <f t="shared" si="17"/>
        <v>-2045.1463359617774</v>
      </c>
      <c r="G106" s="12">
        <f t="shared" si="20"/>
        <v>-5.1598328559008193E-2</v>
      </c>
      <c r="H106" s="36">
        <f t="shared" si="18"/>
        <v>113012.85026579065</v>
      </c>
      <c r="I106" s="19">
        <f t="shared" si="21"/>
        <v>28253.212566447663</v>
      </c>
      <c r="J106" s="19">
        <f t="shared" si="22"/>
        <v>-11382.690244298123</v>
      </c>
      <c r="K106" s="13">
        <f t="shared" si="23"/>
        <v>-0.28718130374495049</v>
      </c>
      <c r="L106" s="39">
        <f t="shared" si="24"/>
        <v>69560.835221189438</v>
      </c>
      <c r="M106" s="39">
        <f>$L106-SUM($C$12:$C106)</f>
        <v>29924.932410443653</v>
      </c>
      <c r="N106" s="62">
        <f t="shared" si="26"/>
        <v>0.43019800316210116</v>
      </c>
    </row>
    <row r="107" spans="1:14" ht="15.95" customHeight="1">
      <c r="A107" s="17" t="s">
        <v>115</v>
      </c>
      <c r="B107" s="40">
        <f t="shared" si="28"/>
        <v>150363.02589913603</v>
      </c>
      <c r="C107" s="15">
        <f t="shared" si="28"/>
        <v>508.22702753907987</v>
      </c>
      <c r="D107" s="15">
        <f t="shared" si="25"/>
        <v>40144.129838284862</v>
      </c>
      <c r="E107" s="15">
        <f t="shared" si="19"/>
        <v>37590.756474784008</v>
      </c>
      <c r="F107" s="15">
        <f t="shared" si="17"/>
        <v>-2553.3733635008539</v>
      </c>
      <c r="G107" s="16">
        <f t="shared" si="20"/>
        <v>-6.3605149091206348E-2</v>
      </c>
      <c r="H107" s="37">
        <f t="shared" si="18"/>
        <v>113012.85026579065</v>
      </c>
      <c r="I107" s="23">
        <f t="shared" si="21"/>
        <v>28253.212566447663</v>
      </c>
      <c r="J107" s="23">
        <f t="shared" si="22"/>
        <v>-11890.917271837199</v>
      </c>
      <c r="K107" s="24">
        <f t="shared" si="23"/>
        <v>-0.29620563005695061</v>
      </c>
      <c r="L107" s="58">
        <f t="shared" si="24"/>
        <v>70892.19879884593</v>
      </c>
      <c r="M107" s="58">
        <f>$L107-SUM($C$12:$C107)</f>
        <v>30748.068960561068</v>
      </c>
      <c r="N107" s="63">
        <f t="shared" si="26"/>
        <v>0.43372993758886802</v>
      </c>
    </row>
    <row r="108" spans="1:14" ht="15.95" customHeight="1">
      <c r="A108" s="21" t="s">
        <v>116</v>
      </c>
      <c r="B108" s="39">
        <f>B107*(1+$F$8)</f>
        <v>159384.80745308421</v>
      </c>
      <c r="C108" s="11">
        <f>C107*(1+$F$8)</f>
        <v>538.72064919142474</v>
      </c>
      <c r="D108" s="47">
        <f t="shared" ref="D108:D115" si="29">D107+C108</f>
        <v>40682.850487476288</v>
      </c>
      <c r="E108" s="47">
        <f t="shared" ref="E108:E115" si="30">B108*$G$8</f>
        <v>39846.201863271053</v>
      </c>
      <c r="F108" s="47">
        <f t="shared" ref="F108:F115" si="31">E108-D108</f>
        <v>-836.64862420523423</v>
      </c>
      <c r="G108" s="48">
        <f t="shared" ref="G108:G115" si="32">F108/D108</f>
        <v>-2.0565142662822659E-2</v>
      </c>
      <c r="H108" s="53">
        <f t="shared" si="18"/>
        <v>119793.6212817381</v>
      </c>
      <c r="I108" s="54">
        <f t="shared" ref="I108:I171" si="33">H108*$G$8</f>
        <v>29948.405320434525</v>
      </c>
      <c r="J108" s="54">
        <f t="shared" ref="J108:J171" si="34">I108-D108</f>
        <v>-10734.445167041762</v>
      </c>
      <c r="K108" s="48">
        <f t="shared" ref="K108:K171" si="35">J108/D108</f>
        <v>-0.26385676122537749</v>
      </c>
      <c r="L108" s="39">
        <f t="shared" si="24"/>
        <v>72269.810467157033</v>
      </c>
      <c r="M108" s="39">
        <f>$L108-SUM($C$12:$C108)</f>
        <v>31586.959979680745</v>
      </c>
      <c r="N108" s="62">
        <f t="shared" si="26"/>
        <v>0.43706991585421989</v>
      </c>
    </row>
    <row r="109" spans="1:14" ht="15.95" customHeight="1">
      <c r="A109" s="21" t="s">
        <v>117</v>
      </c>
      <c r="B109" s="46">
        <f t="shared" ref="B109:C109" si="36">B108</f>
        <v>159384.80745308421</v>
      </c>
      <c r="C109" s="47">
        <f t="shared" si="36"/>
        <v>538.72064919142474</v>
      </c>
      <c r="D109" s="47">
        <f t="shared" si="29"/>
        <v>41221.571136667713</v>
      </c>
      <c r="E109" s="47">
        <f t="shared" si="30"/>
        <v>39846.201863271053</v>
      </c>
      <c r="F109" s="47">
        <f t="shared" si="31"/>
        <v>-1375.36927339666</v>
      </c>
      <c r="G109" s="48">
        <f t="shared" si="32"/>
        <v>-3.3365280251854146E-2</v>
      </c>
      <c r="H109" s="53">
        <f t="shared" si="18"/>
        <v>119793.6212817381</v>
      </c>
      <c r="I109" s="54">
        <f t="shared" si="33"/>
        <v>29948.405320434525</v>
      </c>
      <c r="J109" s="54">
        <f t="shared" si="34"/>
        <v>-11273.165816233188</v>
      </c>
      <c r="K109" s="48">
        <f t="shared" si="35"/>
        <v>-0.27347734463729351</v>
      </c>
      <c r="L109" s="46">
        <f t="shared" si="24"/>
        <v>73663.723873543146</v>
      </c>
      <c r="M109" s="46">
        <f>$L109-SUM($C$12:$C109)</f>
        <v>32442.152736875432</v>
      </c>
      <c r="N109" s="64">
        <f t="shared" si="26"/>
        <v>0.44040880681742545</v>
      </c>
    </row>
    <row r="110" spans="1:14" ht="15.95" customHeight="1">
      <c r="A110" s="21" t="s">
        <v>118</v>
      </c>
      <c r="B110" s="46">
        <f t="shared" ref="B110:C110" si="37">B109</f>
        <v>159384.80745308421</v>
      </c>
      <c r="C110" s="47">
        <f t="shared" si="37"/>
        <v>538.72064919142474</v>
      </c>
      <c r="D110" s="47">
        <f t="shared" si="29"/>
        <v>41760.291785859139</v>
      </c>
      <c r="E110" s="47">
        <f t="shared" si="30"/>
        <v>39846.201863271053</v>
      </c>
      <c r="F110" s="47">
        <f t="shared" si="31"/>
        <v>-1914.0899225880858</v>
      </c>
      <c r="G110" s="48">
        <f t="shared" si="32"/>
        <v>-4.5835166392114012E-2</v>
      </c>
      <c r="H110" s="53">
        <f t="shared" si="18"/>
        <v>119793.6212817381</v>
      </c>
      <c r="I110" s="54">
        <f t="shared" si="33"/>
        <v>29948.405320434525</v>
      </c>
      <c r="J110" s="54">
        <f t="shared" si="34"/>
        <v>-11811.886465424614</v>
      </c>
      <c r="K110" s="48">
        <f t="shared" si="35"/>
        <v>-0.28284971106031287</v>
      </c>
      <c r="L110" s="46">
        <f t="shared" si="24"/>
        <v>75074.131921904831</v>
      </c>
      <c r="M110" s="46">
        <f>$L110-SUM($C$12:$C110)</f>
        <v>33313.840136045692</v>
      </c>
      <c r="N110" s="64">
        <f t="shared" si="26"/>
        <v>0.44374592530354001</v>
      </c>
    </row>
    <row r="111" spans="1:14" ht="15.95" customHeight="1">
      <c r="A111" s="21" t="s">
        <v>119</v>
      </c>
      <c r="B111" s="46">
        <f t="shared" ref="B111:C111" si="38">B110</f>
        <v>159384.80745308421</v>
      </c>
      <c r="C111" s="47">
        <f t="shared" si="38"/>
        <v>538.72064919142474</v>
      </c>
      <c r="D111" s="47">
        <f t="shared" si="29"/>
        <v>42299.012435050565</v>
      </c>
      <c r="E111" s="47">
        <f t="shared" si="30"/>
        <v>39846.201863271053</v>
      </c>
      <c r="F111" s="47">
        <f t="shared" si="31"/>
        <v>-2452.8105717795115</v>
      </c>
      <c r="G111" s="48">
        <f t="shared" si="32"/>
        <v>-5.7987419340954159E-2</v>
      </c>
      <c r="H111" s="53">
        <f t="shared" si="18"/>
        <v>119793.6212817381</v>
      </c>
      <c r="I111" s="54">
        <f t="shared" si="33"/>
        <v>29948.405320434525</v>
      </c>
      <c r="J111" s="54">
        <f t="shared" si="34"/>
        <v>-12350.607114616039</v>
      </c>
      <c r="K111" s="48">
        <f t="shared" si="35"/>
        <v>-0.29198334437666112</v>
      </c>
      <c r="L111" s="46">
        <f t="shared" si="24"/>
        <v>76501.229798838802</v>
      </c>
      <c r="M111" s="46">
        <f>$L111-SUM($C$12:$C111)</f>
        <v>34202.217363788237</v>
      </c>
      <c r="N111" s="64">
        <f t="shared" si="26"/>
        <v>0.44708062149750416</v>
      </c>
    </row>
    <row r="112" spans="1:14" ht="15.95" customHeight="1">
      <c r="A112" s="21" t="s">
        <v>120</v>
      </c>
      <c r="B112" s="46">
        <f t="shared" ref="B112:C112" si="39">B111</f>
        <v>159384.80745308421</v>
      </c>
      <c r="C112" s="47">
        <f t="shared" si="39"/>
        <v>538.72064919142474</v>
      </c>
      <c r="D112" s="47">
        <f t="shared" si="29"/>
        <v>42837.733084241991</v>
      </c>
      <c r="E112" s="47">
        <f t="shared" si="30"/>
        <v>39846.201863271053</v>
      </c>
      <c r="F112" s="47">
        <f t="shared" si="31"/>
        <v>-2991.5312209709373</v>
      </c>
      <c r="G112" s="48">
        <f t="shared" si="32"/>
        <v>-6.9834022614781693E-2</v>
      </c>
      <c r="H112" s="53">
        <f t="shared" si="18"/>
        <v>119793.6212817381</v>
      </c>
      <c r="I112" s="54">
        <f t="shared" si="33"/>
        <v>29948.405320434525</v>
      </c>
      <c r="J112" s="54">
        <f t="shared" si="34"/>
        <v>-12889.327763807465</v>
      </c>
      <c r="K112" s="48">
        <f t="shared" si="35"/>
        <v>-0.30088725139726991</v>
      </c>
      <c r="L112" s="46">
        <f t="shared" si="24"/>
        <v>77945.215000649827</v>
      </c>
      <c r="M112" s="46">
        <f>$L112-SUM($C$12:$C112)</f>
        <v>35107.481916407836</v>
      </c>
      <c r="N112" s="64">
        <f t="shared" si="26"/>
        <v>0.45041227888222701</v>
      </c>
    </row>
    <row r="113" spans="1:14" ht="15.95" customHeight="1">
      <c r="A113" s="21" t="s">
        <v>121</v>
      </c>
      <c r="B113" s="46">
        <f t="shared" ref="B113:C113" si="40">B112</f>
        <v>159384.80745308421</v>
      </c>
      <c r="C113" s="47">
        <f t="shared" si="40"/>
        <v>538.72064919142474</v>
      </c>
      <c r="D113" s="47">
        <f t="shared" si="29"/>
        <v>43376.453733433416</v>
      </c>
      <c r="E113" s="47">
        <f t="shared" si="30"/>
        <v>39846.201863271053</v>
      </c>
      <c r="F113" s="47">
        <f t="shared" si="31"/>
        <v>-3530.251870162363</v>
      </c>
      <c r="G113" s="48">
        <f t="shared" si="32"/>
        <v>-8.1386364405381037E-2</v>
      </c>
      <c r="H113" s="53">
        <f t="shared" si="18"/>
        <v>119793.6212817381</v>
      </c>
      <c r="I113" s="54">
        <f t="shared" si="33"/>
        <v>29948.405320434525</v>
      </c>
      <c r="J113" s="54">
        <f t="shared" si="34"/>
        <v>-13428.048412998891</v>
      </c>
      <c r="K113" s="48">
        <f t="shared" si="35"/>
        <v>-0.30956999148708436</v>
      </c>
      <c r="L113" s="46">
        <f t="shared" si="24"/>
        <v>79406.287360682283</v>
      </c>
      <c r="M113" s="46">
        <f>$L113-SUM($C$12:$C113)</f>
        <v>36029.833627248867</v>
      </c>
      <c r="N113" s="64">
        <f t="shared" si="26"/>
        <v>0.45374031232051909</v>
      </c>
    </row>
    <row r="114" spans="1:14" ht="15.95" customHeight="1">
      <c r="A114" s="21" t="s">
        <v>122</v>
      </c>
      <c r="B114" s="46">
        <f t="shared" ref="B114:C114" si="41">B113</f>
        <v>159384.80745308421</v>
      </c>
      <c r="C114" s="47">
        <f t="shared" si="41"/>
        <v>538.72064919142474</v>
      </c>
      <c r="D114" s="47">
        <f t="shared" si="29"/>
        <v>43915.174382624842</v>
      </c>
      <c r="E114" s="47">
        <f t="shared" si="30"/>
        <v>39846.201863271053</v>
      </c>
      <c r="F114" s="47">
        <f t="shared" si="31"/>
        <v>-4068.9725193537888</v>
      </c>
      <c r="G114" s="48">
        <f t="shared" si="32"/>
        <v>-9.2655274095044662E-2</v>
      </c>
      <c r="H114" s="53">
        <f t="shared" si="18"/>
        <v>119793.6212817381</v>
      </c>
      <c r="I114" s="54">
        <f t="shared" si="33"/>
        <v>29948.405320434525</v>
      </c>
      <c r="J114" s="54">
        <f t="shared" si="34"/>
        <v>-13966.769062190317</v>
      </c>
      <c r="K114" s="48">
        <f t="shared" si="35"/>
        <v>-0.31803970400983556</v>
      </c>
      <c r="L114" s="46">
        <f t="shared" si="24"/>
        <v>80884.649076975125</v>
      </c>
      <c r="M114" s="46">
        <f>$L114-SUM($C$12:$C114)</f>
        <v>36969.474694350283</v>
      </c>
      <c r="N114" s="64">
        <f t="shared" si="26"/>
        <v>0.4570641662692721</v>
      </c>
    </row>
    <row r="115" spans="1:14" ht="15.95" customHeight="1">
      <c r="A115" s="21" t="s">
        <v>123</v>
      </c>
      <c r="B115" s="46">
        <f t="shared" ref="B115:C115" si="42">B114</f>
        <v>159384.80745308421</v>
      </c>
      <c r="C115" s="47">
        <f t="shared" si="42"/>
        <v>538.72064919142474</v>
      </c>
      <c r="D115" s="47">
        <f t="shared" si="29"/>
        <v>44453.895031816268</v>
      </c>
      <c r="E115" s="47">
        <f t="shared" si="30"/>
        <v>39846.201863271053</v>
      </c>
      <c r="F115" s="47">
        <f t="shared" si="31"/>
        <v>-4607.6931685452146</v>
      </c>
      <c r="G115" s="48">
        <f t="shared" si="32"/>
        <v>-0.10365105611662206</v>
      </c>
      <c r="H115" s="53">
        <f t="shared" si="18"/>
        <v>119793.6212817381</v>
      </c>
      <c r="I115" s="54">
        <f t="shared" si="33"/>
        <v>29948.405320434525</v>
      </c>
      <c r="J115" s="54">
        <f t="shared" si="34"/>
        <v>-14505.489711381742</v>
      </c>
      <c r="K115" s="48">
        <f t="shared" si="35"/>
        <v>-0.32630413377725309</v>
      </c>
      <c r="L115" s="46">
        <f t="shared" si="24"/>
        <v>82380.504740244098</v>
      </c>
      <c r="M115" s="46">
        <f>$L115-SUM($C$12:$C115)</f>
        <v>37926.60970842783</v>
      </c>
      <c r="N115" s="64">
        <f t="shared" si="26"/>
        <v>0.46038331311534342</v>
      </c>
    </row>
    <row r="116" spans="1:14" ht="15.95" customHeight="1">
      <c r="A116" s="21" t="s">
        <v>124</v>
      </c>
      <c r="B116" s="46">
        <f t="shared" ref="B116:C116" si="43">B115</f>
        <v>159384.80745308421</v>
      </c>
      <c r="C116" s="47">
        <f t="shared" si="43"/>
        <v>538.72064919142474</v>
      </c>
      <c r="D116" s="47">
        <f t="shared" ref="D116:D179" si="44">D115+C116</f>
        <v>44992.615681007694</v>
      </c>
      <c r="E116" s="47">
        <f t="shared" ref="E116:E179" si="45">B116*$G$8</f>
        <v>39846.201863271053</v>
      </c>
      <c r="F116" s="47">
        <f t="shared" ref="F116:F179" si="46">E116-D116</f>
        <v>-5146.4138177366403</v>
      </c>
      <c r="G116" s="48">
        <f t="shared" ref="G116:G179" si="47">F116/D116</f>
        <v>-0.1143835213810218</v>
      </c>
      <c r="H116" s="53">
        <f t="shared" si="18"/>
        <v>119793.6212817381</v>
      </c>
      <c r="I116" s="54">
        <f t="shared" si="33"/>
        <v>29948.405320434525</v>
      </c>
      <c r="J116" s="54">
        <f t="shared" si="34"/>
        <v>-15044.210360573168</v>
      </c>
      <c r="K116" s="48">
        <f t="shared" si="35"/>
        <v>-0.33437065466997595</v>
      </c>
      <c r="L116" s="46">
        <f t="shared" si="24"/>
        <v>83894.061362195076</v>
      </c>
      <c r="M116" s="46">
        <f>$L116-SUM($C$12:$C116)</f>
        <v>38901.445681187382</v>
      </c>
      <c r="N116" s="64">
        <f t="shared" si="26"/>
        <v>0.4636972516235508</v>
      </c>
    </row>
    <row r="117" spans="1:14" ht="15.95" customHeight="1">
      <c r="A117" s="21" t="s">
        <v>125</v>
      </c>
      <c r="B117" s="46">
        <f t="shared" ref="B117:C117" si="48">B116</f>
        <v>159384.80745308421</v>
      </c>
      <c r="C117" s="47">
        <f t="shared" si="48"/>
        <v>538.72064919142474</v>
      </c>
      <c r="D117" s="47">
        <f t="shared" si="44"/>
        <v>45531.336330199119</v>
      </c>
      <c r="E117" s="47">
        <f t="shared" si="45"/>
        <v>39846.201863271053</v>
      </c>
      <c r="F117" s="47">
        <f t="shared" si="46"/>
        <v>-5685.1344669280661</v>
      </c>
      <c r="G117" s="48">
        <f t="shared" si="47"/>
        <v>-0.12486201647363782</v>
      </c>
      <c r="H117" s="53">
        <f t="shared" si="18"/>
        <v>119793.6212817381</v>
      </c>
      <c r="I117" s="54">
        <f t="shared" si="33"/>
        <v>29948.405320434525</v>
      </c>
      <c r="J117" s="54">
        <f t="shared" si="34"/>
        <v>-15582.931009764594</v>
      </c>
      <c r="K117" s="48">
        <f t="shared" si="35"/>
        <v>-0.34224629158158615</v>
      </c>
      <c r="L117" s="46">
        <f t="shared" si="24"/>
        <v>85425.528404172481</v>
      </c>
      <c r="M117" s="46">
        <f>$L117-SUM($C$12:$C117)</f>
        <v>39894.192073973361</v>
      </c>
      <c r="N117" s="64">
        <f t="shared" si="26"/>
        <v>0.46700550548803849</v>
      </c>
    </row>
    <row r="118" spans="1:14" ht="15.95" customHeight="1">
      <c r="A118" s="21" t="s">
        <v>126</v>
      </c>
      <c r="B118" s="46">
        <f t="shared" ref="B118:C118" si="49">B117</f>
        <v>159384.80745308421</v>
      </c>
      <c r="C118" s="47">
        <f t="shared" si="49"/>
        <v>538.72064919142474</v>
      </c>
      <c r="D118" s="47">
        <f t="shared" si="44"/>
        <v>46070.056979390545</v>
      </c>
      <c r="E118" s="47">
        <f t="shared" si="45"/>
        <v>39846.201863271053</v>
      </c>
      <c r="F118" s="47">
        <f t="shared" si="46"/>
        <v>-6223.8551161194919</v>
      </c>
      <c r="G118" s="48">
        <f t="shared" si="47"/>
        <v>-0.13509545080232341</v>
      </c>
      <c r="H118" s="53">
        <f t="shared" si="18"/>
        <v>119793.6212817381</v>
      </c>
      <c r="I118" s="54">
        <f t="shared" si="33"/>
        <v>29948.405320434525</v>
      </c>
      <c r="J118" s="54">
        <f t="shared" si="34"/>
        <v>-16121.65165895602</v>
      </c>
      <c r="K118" s="48">
        <f t="shared" si="35"/>
        <v>-0.34993774082302626</v>
      </c>
      <c r="L118" s="46">
        <f t="shared" si="24"/>
        <v>86975.11780614662</v>
      </c>
      <c r="M118" s="46">
        <f>$L118-SUM($C$12:$C118)</f>
        <v>40905.060826756075</v>
      </c>
      <c r="N118" s="64">
        <f t="shared" si="26"/>
        <v>0.47030762197904458</v>
      </c>
    </row>
    <row r="119" spans="1:14" ht="15.95" customHeight="1">
      <c r="A119" s="17" t="s">
        <v>127</v>
      </c>
      <c r="B119" s="40">
        <f t="shared" ref="B119:C119" si="50">B118</f>
        <v>159384.80745308421</v>
      </c>
      <c r="C119" s="15">
        <f t="shared" si="50"/>
        <v>538.72064919142474</v>
      </c>
      <c r="D119" s="15">
        <f t="shared" si="44"/>
        <v>46608.777628581971</v>
      </c>
      <c r="E119" s="15">
        <f t="shared" si="45"/>
        <v>39846.201863271053</v>
      </c>
      <c r="F119" s="15">
        <f t="shared" si="46"/>
        <v>-6762.5757653109176</v>
      </c>
      <c r="G119" s="16">
        <f t="shared" si="47"/>
        <v>-0.14509232186265048</v>
      </c>
      <c r="H119" s="37">
        <f t="shared" si="18"/>
        <v>119793.6212817381</v>
      </c>
      <c r="I119" s="23">
        <f t="shared" si="33"/>
        <v>29948.405320434525</v>
      </c>
      <c r="J119" s="23">
        <f t="shared" si="34"/>
        <v>-16660.372308147445</v>
      </c>
      <c r="K119" s="24">
        <f t="shared" si="35"/>
        <v>-0.35745138911196805</v>
      </c>
      <c r="L119" s="58">
        <f t="shared" si="24"/>
        <v>88543.044016044121</v>
      </c>
      <c r="M119" s="58">
        <f>$L119-SUM($C$12:$C119)</f>
        <v>41934.26638746215</v>
      </c>
      <c r="N119" s="63">
        <f t="shared" si="26"/>
        <v>0.473603170677796</v>
      </c>
    </row>
    <row r="120" spans="1:14" ht="15.95" customHeight="1">
      <c r="A120" s="21" t="s">
        <v>128</v>
      </c>
      <c r="B120" s="39">
        <f>B119*(1+$F$8)</f>
        <v>168947.89590026927</v>
      </c>
      <c r="C120" s="11">
        <f>C119*(1+$F$8)</f>
        <v>571.0438881429103</v>
      </c>
      <c r="D120" s="47">
        <f t="shared" si="44"/>
        <v>47179.821516724878</v>
      </c>
      <c r="E120" s="47">
        <f t="shared" si="45"/>
        <v>42236.973975067318</v>
      </c>
      <c r="F120" s="47">
        <f t="shared" si="46"/>
        <v>-4942.8475416575602</v>
      </c>
      <c r="G120" s="48">
        <f t="shared" si="47"/>
        <v>-0.10476613481688055</v>
      </c>
      <c r="H120" s="53">
        <f t="shared" si="18"/>
        <v>126981.23855864239</v>
      </c>
      <c r="I120" s="54">
        <f t="shared" si="33"/>
        <v>31745.309639660598</v>
      </c>
      <c r="J120" s="54">
        <f t="shared" si="34"/>
        <v>-15434.51187706428</v>
      </c>
      <c r="K120" s="48">
        <f t="shared" si="35"/>
        <v>-0.32714222692836736</v>
      </c>
      <c r="L120" s="39">
        <f t="shared" si="24"/>
        <v>90161.847258376889</v>
      </c>
      <c r="M120" s="39">
        <f>$L120-SUM($C$12:$C120)</f>
        <v>42982.025741652011</v>
      </c>
      <c r="N120" s="62">
        <f t="shared" si="26"/>
        <v>0.47672077545703317</v>
      </c>
    </row>
    <row r="121" spans="1:14" ht="15.95" customHeight="1">
      <c r="A121" s="21" t="s">
        <v>129</v>
      </c>
      <c r="B121" s="46">
        <f t="shared" ref="B121:C121" si="51">B120</f>
        <v>168947.89590026927</v>
      </c>
      <c r="C121" s="47">
        <f t="shared" si="51"/>
        <v>571.0438881429103</v>
      </c>
      <c r="D121" s="47">
        <f t="shared" si="44"/>
        <v>47750.865404867785</v>
      </c>
      <c r="E121" s="47">
        <f t="shared" si="45"/>
        <v>42236.973975067318</v>
      </c>
      <c r="F121" s="47">
        <f t="shared" si="46"/>
        <v>-5513.8914298004674</v>
      </c>
      <c r="G121" s="48">
        <f t="shared" si="47"/>
        <v>-0.11547207329227534</v>
      </c>
      <c r="H121" s="53">
        <f t="shared" si="18"/>
        <v>126981.23855864239</v>
      </c>
      <c r="I121" s="54">
        <f t="shared" si="33"/>
        <v>31745.309639660598</v>
      </c>
      <c r="J121" s="54">
        <f t="shared" si="34"/>
        <v>-16005.555765207188</v>
      </c>
      <c r="K121" s="48">
        <f t="shared" si="35"/>
        <v>-0.33518881028647413</v>
      </c>
      <c r="L121" s="46">
        <f t="shared" si="24"/>
        <v>91799.806339077273</v>
      </c>
      <c r="M121" s="46">
        <f>$L121-SUM($C$12:$C121)</f>
        <v>44048.940934209488</v>
      </c>
      <c r="N121" s="64">
        <f t="shared" si="26"/>
        <v>0.47983697015119703</v>
      </c>
    </row>
    <row r="122" spans="1:14" ht="15.95" customHeight="1">
      <c r="A122" s="21" t="s">
        <v>130</v>
      </c>
      <c r="B122" s="46">
        <f t="shared" ref="B122:C122" si="52">B121</f>
        <v>168947.89590026927</v>
      </c>
      <c r="C122" s="47">
        <f t="shared" si="52"/>
        <v>571.0438881429103</v>
      </c>
      <c r="D122" s="47">
        <f t="shared" si="44"/>
        <v>48321.909293010693</v>
      </c>
      <c r="E122" s="47">
        <f t="shared" si="45"/>
        <v>42236.973975067318</v>
      </c>
      <c r="F122" s="47">
        <f t="shared" si="46"/>
        <v>-6084.9353179433747</v>
      </c>
      <c r="G122" s="48">
        <f t="shared" si="47"/>
        <v>-0.12592497703362693</v>
      </c>
      <c r="H122" s="53">
        <f t="shared" si="18"/>
        <v>126981.23855864239</v>
      </c>
      <c r="I122" s="54">
        <f t="shared" si="33"/>
        <v>31745.309639660598</v>
      </c>
      <c r="J122" s="54">
        <f t="shared" si="34"/>
        <v>-16576.599653350095</v>
      </c>
      <c r="K122" s="48">
        <f t="shared" si="35"/>
        <v>-0.34304521273847394</v>
      </c>
      <c r="L122" s="46">
        <f t="shared" si="24"/>
        <v>93457.147935565939</v>
      </c>
      <c r="M122" s="46">
        <f>$L122-SUM($C$12:$C122)</f>
        <v>45135.238642555247</v>
      </c>
      <c r="N122" s="64">
        <f t="shared" si="26"/>
        <v>0.48295116681362621</v>
      </c>
    </row>
    <row r="123" spans="1:14" ht="15.95" customHeight="1">
      <c r="A123" s="21" t="s">
        <v>131</v>
      </c>
      <c r="B123" s="46">
        <f t="shared" ref="B123:C123" si="53">B122</f>
        <v>168947.89590026927</v>
      </c>
      <c r="C123" s="47">
        <f t="shared" si="53"/>
        <v>571.0438881429103</v>
      </c>
      <c r="D123" s="47">
        <f t="shared" si="44"/>
        <v>48892.9531811536</v>
      </c>
      <c r="E123" s="47">
        <f t="shared" si="45"/>
        <v>42236.973975067318</v>
      </c>
      <c r="F123" s="47">
        <f t="shared" si="46"/>
        <v>-6655.9792060862819</v>
      </c>
      <c r="G123" s="48">
        <f t="shared" si="47"/>
        <v>-0.13613371197737167</v>
      </c>
      <c r="H123" s="53">
        <f t="shared" si="18"/>
        <v>126981.23855864239</v>
      </c>
      <c r="I123" s="54">
        <f t="shared" si="33"/>
        <v>31745.309639660598</v>
      </c>
      <c r="J123" s="54">
        <f t="shared" si="34"/>
        <v>-17147.643541493002</v>
      </c>
      <c r="K123" s="48">
        <f t="shared" si="35"/>
        <v>-0.3507180979221925</v>
      </c>
      <c r="L123" s="46">
        <f t="shared" si="24"/>
        <v>95134.101407613052</v>
      </c>
      <c r="M123" s="46">
        <f>$L123-SUM($C$12:$C123)</f>
        <v>46241.148226459452</v>
      </c>
      <c r="N123" s="64">
        <f t="shared" si="26"/>
        <v>0.48606280547428421</v>
      </c>
    </row>
    <row r="124" spans="1:14" ht="15.95" customHeight="1">
      <c r="A124" s="21" t="s">
        <v>132</v>
      </c>
      <c r="B124" s="46">
        <f t="shared" ref="B124:C124" si="54">B123</f>
        <v>168947.89590026927</v>
      </c>
      <c r="C124" s="47">
        <f t="shared" si="54"/>
        <v>571.0438881429103</v>
      </c>
      <c r="D124" s="47">
        <f t="shared" si="44"/>
        <v>49463.997069296507</v>
      </c>
      <c r="E124" s="47">
        <f t="shared" si="45"/>
        <v>42236.973975067318</v>
      </c>
      <c r="F124" s="47">
        <f t="shared" si="46"/>
        <v>-7227.0230942291892</v>
      </c>
      <c r="G124" s="48">
        <f t="shared" si="47"/>
        <v>-0.1461067346438765</v>
      </c>
      <c r="H124" s="53">
        <f t="shared" si="18"/>
        <v>126981.23855864239</v>
      </c>
      <c r="I124" s="54">
        <f t="shared" si="33"/>
        <v>31745.309639660598</v>
      </c>
      <c r="J124" s="54">
        <f t="shared" si="34"/>
        <v>-17718.687429635909</v>
      </c>
      <c r="K124" s="48">
        <f t="shared" si="35"/>
        <v>-0.35821382175833755</v>
      </c>
      <c r="L124" s="46">
        <f t="shared" si="24"/>
        <v>96830.898829079393</v>
      </c>
      <c r="M124" s="46">
        <f>$L124-SUM($C$12:$C124)</f>
        <v>47366.901759782886</v>
      </c>
      <c r="N124" s="64">
        <f t="shared" si="26"/>
        <v>0.48917135266287626</v>
      </c>
    </row>
    <row r="125" spans="1:14" ht="15.95" customHeight="1">
      <c r="A125" s="21" t="s">
        <v>133</v>
      </c>
      <c r="B125" s="46">
        <f t="shared" ref="B125:C125" si="55">B124</f>
        <v>168947.89590026927</v>
      </c>
      <c r="C125" s="47">
        <f t="shared" si="55"/>
        <v>571.0438881429103</v>
      </c>
      <c r="D125" s="47">
        <f t="shared" si="44"/>
        <v>50035.040957439414</v>
      </c>
      <c r="E125" s="47">
        <f t="shared" si="45"/>
        <v>42236.973975067318</v>
      </c>
      <c r="F125" s="47">
        <f t="shared" si="46"/>
        <v>-7798.0669823720964</v>
      </c>
      <c r="G125" s="48">
        <f t="shared" si="47"/>
        <v>-0.15585211550052</v>
      </c>
      <c r="H125" s="53">
        <f t="shared" si="18"/>
        <v>126981.23855864239</v>
      </c>
      <c r="I125" s="54">
        <f t="shared" si="33"/>
        <v>31745.309639660598</v>
      </c>
      <c r="J125" s="54">
        <f t="shared" si="34"/>
        <v>-18289.731317778816</v>
      </c>
      <c r="K125" s="48">
        <f t="shared" si="35"/>
        <v>-0.36553845001019081</v>
      </c>
      <c r="L125" s="46">
        <f t="shared" si="24"/>
        <v>98547.775020033077</v>
      </c>
      <c r="M125" s="46">
        <f>$L125-SUM($C$12:$C125)</f>
        <v>48512.734062593663</v>
      </c>
      <c r="N125" s="64">
        <f t="shared" si="26"/>
        <v>0.49227630002536182</v>
      </c>
    </row>
    <row r="126" spans="1:14" ht="15.95" customHeight="1">
      <c r="A126" s="21" t="s">
        <v>134</v>
      </c>
      <c r="B126" s="46">
        <f t="shared" ref="B126:C126" si="56">B125</f>
        <v>168947.89590026927</v>
      </c>
      <c r="C126" s="47">
        <f t="shared" si="56"/>
        <v>571.0438881429103</v>
      </c>
      <c r="D126" s="47">
        <f t="shared" si="44"/>
        <v>50606.084845582322</v>
      </c>
      <c r="E126" s="47">
        <f t="shared" si="45"/>
        <v>42236.973975067318</v>
      </c>
      <c r="F126" s="47">
        <f t="shared" si="46"/>
        <v>-8369.1108705150036</v>
      </c>
      <c r="G126" s="48">
        <f t="shared" si="47"/>
        <v>-0.16537756074298621</v>
      </c>
      <c r="H126" s="53">
        <f t="shared" si="18"/>
        <v>126981.23855864239</v>
      </c>
      <c r="I126" s="54">
        <f t="shared" si="33"/>
        <v>31745.309639660598</v>
      </c>
      <c r="J126" s="54">
        <f t="shared" si="34"/>
        <v>-18860.775205921724</v>
      </c>
      <c r="K126" s="48">
        <f t="shared" si="35"/>
        <v>-0.37269777465442838</v>
      </c>
      <c r="L126" s="46">
        <f t="shared" si="24"/>
        <v>100284.96757924638</v>
      </c>
      <c r="M126" s="46">
        <f>$L126-SUM($C$12:$C126)</f>
        <v>49678.882733664061</v>
      </c>
      <c r="N126" s="64">
        <f t="shared" si="26"/>
        <v>0.49537716302702312</v>
      </c>
    </row>
    <row r="127" spans="1:14" ht="15.95" customHeight="1">
      <c r="A127" s="21" t="s">
        <v>135</v>
      </c>
      <c r="B127" s="46">
        <f t="shared" ref="B127:C127" si="57">B126</f>
        <v>168947.89590026927</v>
      </c>
      <c r="C127" s="47">
        <f t="shared" si="57"/>
        <v>571.0438881429103</v>
      </c>
      <c r="D127" s="47">
        <f t="shared" si="44"/>
        <v>51177.128733725229</v>
      </c>
      <c r="E127" s="47">
        <f t="shared" si="45"/>
        <v>42236.973975067318</v>
      </c>
      <c r="F127" s="47">
        <f t="shared" si="46"/>
        <v>-8940.1547586579109</v>
      </c>
      <c r="G127" s="48">
        <f t="shared" si="47"/>
        <v>-0.1746904326183199</v>
      </c>
      <c r="H127" s="53">
        <f t="shared" si="18"/>
        <v>126981.23855864239</v>
      </c>
      <c r="I127" s="54">
        <f t="shared" si="33"/>
        <v>31745.309639660598</v>
      </c>
      <c r="J127" s="54">
        <f t="shared" si="34"/>
        <v>-19431.819094064631</v>
      </c>
      <c r="K127" s="48">
        <f t="shared" si="35"/>
        <v>-0.37969732915592919</v>
      </c>
      <c r="L127" s="46">
        <f t="shared" si="24"/>
        <v>102042.71691707705</v>
      </c>
      <c r="M127" s="46">
        <f>$L127-SUM($C$12:$C127)</f>
        <v>50865.588183351821</v>
      </c>
      <c r="N127" s="64">
        <f t="shared" si="26"/>
        <v>0.49847347973581213</v>
      </c>
    </row>
    <row r="128" spans="1:14" ht="15.95" customHeight="1">
      <c r="A128" s="21" t="s">
        <v>136</v>
      </c>
      <c r="B128" s="46">
        <f t="shared" ref="B128:C128" si="58">B127</f>
        <v>168947.89590026927</v>
      </c>
      <c r="C128" s="47">
        <f t="shared" si="58"/>
        <v>571.0438881429103</v>
      </c>
      <c r="D128" s="47">
        <f t="shared" si="44"/>
        <v>51748.172621868136</v>
      </c>
      <c r="E128" s="47">
        <f t="shared" si="45"/>
        <v>42236.973975067318</v>
      </c>
      <c r="F128" s="47">
        <f t="shared" si="46"/>
        <v>-9511.1986468008181</v>
      </c>
      <c r="G128" s="48">
        <f t="shared" si="47"/>
        <v>-0.18379776840238612</v>
      </c>
      <c r="H128" s="53">
        <f t="shared" si="18"/>
        <v>126981.23855864239</v>
      </c>
      <c r="I128" s="54">
        <f t="shared" si="33"/>
        <v>31745.309639660598</v>
      </c>
      <c r="J128" s="54">
        <f t="shared" si="34"/>
        <v>-20002.862982207538</v>
      </c>
      <c r="K128" s="48">
        <f t="shared" si="35"/>
        <v>-0.38654240273123336</v>
      </c>
      <c r="L128" s="46">
        <f t="shared" si="24"/>
        <v>103821.26628873871</v>
      </c>
      <c r="M128" s="46">
        <f>$L128-SUM($C$12:$C128)</f>
        <v>52073.093666870576</v>
      </c>
      <c r="N128" s="64">
        <f t="shared" si="26"/>
        <v>0.5015648096802191</v>
      </c>
    </row>
    <row r="129" spans="1:14" ht="15.95" customHeight="1">
      <c r="A129" s="21" t="s">
        <v>137</v>
      </c>
      <c r="B129" s="46">
        <f t="shared" ref="B129:C129" si="59">B128</f>
        <v>168947.89590026927</v>
      </c>
      <c r="C129" s="47">
        <f t="shared" si="59"/>
        <v>571.0438881429103</v>
      </c>
      <c r="D129" s="47">
        <f t="shared" si="44"/>
        <v>52319.216510011043</v>
      </c>
      <c r="E129" s="47">
        <f t="shared" si="45"/>
        <v>42236.973975067318</v>
      </c>
      <c r="F129" s="47">
        <f t="shared" si="46"/>
        <v>-10082.242534943725</v>
      </c>
      <c r="G129" s="48">
        <f t="shared" si="47"/>
        <v>-0.19270629813453979</v>
      </c>
      <c r="H129" s="53">
        <f t="shared" si="18"/>
        <v>126981.23855864239</v>
      </c>
      <c r="I129" s="54">
        <f t="shared" si="33"/>
        <v>31745.309639660598</v>
      </c>
      <c r="J129" s="54">
        <f t="shared" si="34"/>
        <v>-20573.906870350445</v>
      </c>
      <c r="K129" s="48">
        <f t="shared" si="35"/>
        <v>-0.39323805367792009</v>
      </c>
      <c r="L129" s="46">
        <f t="shared" si="24"/>
        <v>105620.86182796504</v>
      </c>
      <c r="M129" s="46">
        <f>$L129-SUM($C$12:$C129)</f>
        <v>53301.645317953997</v>
      </c>
      <c r="N129" s="64">
        <f t="shared" si="26"/>
        <v>0.50465073277636729</v>
      </c>
    </row>
    <row r="130" spans="1:14" ht="15.95" customHeight="1">
      <c r="A130" s="21" t="s">
        <v>138</v>
      </c>
      <c r="B130" s="46">
        <f t="shared" ref="B130:C130" si="60">B129</f>
        <v>168947.89590026927</v>
      </c>
      <c r="C130" s="47">
        <f t="shared" si="60"/>
        <v>571.0438881429103</v>
      </c>
      <c r="D130" s="47">
        <f t="shared" si="44"/>
        <v>52890.260398153951</v>
      </c>
      <c r="E130" s="47">
        <f t="shared" si="45"/>
        <v>42236.973975067318</v>
      </c>
      <c r="F130" s="47">
        <f t="shared" si="46"/>
        <v>-10653.286423086633</v>
      </c>
      <c r="G130" s="48">
        <f t="shared" si="47"/>
        <v>-0.20142246120343299</v>
      </c>
      <c r="H130" s="53">
        <f t="shared" si="18"/>
        <v>126981.23855864239</v>
      </c>
      <c r="I130" s="54">
        <f t="shared" si="33"/>
        <v>31745.309639660598</v>
      </c>
      <c r="J130" s="54">
        <f t="shared" si="34"/>
        <v>-21144.950758493353</v>
      </c>
      <c r="K130" s="48">
        <f t="shared" si="35"/>
        <v>-0.39978912184050019</v>
      </c>
      <c r="L130" s="46">
        <f t="shared" si="24"/>
        <v>107441.75258107221</v>
      </c>
      <c r="M130" s="46">
        <f>$L130-SUM($C$12:$C130)</f>
        <v>54551.492182918264</v>
      </c>
      <c r="N130" s="64">
        <f t="shared" si="26"/>
        <v>0.50773084831946869</v>
      </c>
    </row>
    <row r="131" spans="1:14" ht="15.95" customHeight="1">
      <c r="A131" s="17" t="s">
        <v>139</v>
      </c>
      <c r="B131" s="40">
        <f t="shared" ref="B131:C131" si="61">B130</f>
        <v>168947.89590026927</v>
      </c>
      <c r="C131" s="15">
        <f t="shared" si="61"/>
        <v>571.0438881429103</v>
      </c>
      <c r="D131" s="15">
        <f t="shared" si="44"/>
        <v>53461.304286296858</v>
      </c>
      <c r="E131" s="15">
        <f t="shared" si="45"/>
        <v>42236.973975067318</v>
      </c>
      <c r="F131" s="15">
        <f t="shared" si="46"/>
        <v>-11224.33031122954</v>
      </c>
      <c r="G131" s="16">
        <f t="shared" si="47"/>
        <v>-0.20995242186985977</v>
      </c>
      <c r="H131" s="37">
        <f t="shared" si="18"/>
        <v>126981.23855864239</v>
      </c>
      <c r="I131" s="23">
        <f t="shared" si="33"/>
        <v>31745.309639660598</v>
      </c>
      <c r="J131" s="23">
        <f t="shared" si="34"/>
        <v>-21715.99464663626</v>
      </c>
      <c r="K131" s="24">
        <f t="shared" si="35"/>
        <v>-0.40620024027738655</v>
      </c>
      <c r="L131" s="58">
        <f t="shared" si="24"/>
        <v>109284.19054142448</v>
      </c>
      <c r="M131" s="58">
        <f>$L131-SUM($C$12:$C131)</f>
        <v>55822.886255127625</v>
      </c>
      <c r="N131" s="63">
        <f t="shared" si="26"/>
        <v>0.51080477403515934</v>
      </c>
    </row>
    <row r="132" spans="1:14" ht="15.95" customHeight="1">
      <c r="A132" s="21" t="s">
        <v>140</v>
      </c>
      <c r="B132" s="39">
        <f>B131*(1+$F$8)</f>
        <v>179084.76965428542</v>
      </c>
      <c r="C132" s="11">
        <f>C131*(1+$F$8)</f>
        <v>605.30652143148495</v>
      </c>
      <c r="D132" s="47">
        <f t="shared" si="44"/>
        <v>54066.610807728342</v>
      </c>
      <c r="E132" s="47">
        <f t="shared" si="45"/>
        <v>44771.192413571356</v>
      </c>
      <c r="F132" s="47">
        <f t="shared" si="46"/>
        <v>-9295.4183941569863</v>
      </c>
      <c r="G132" s="48">
        <f t="shared" si="47"/>
        <v>-0.17192530205404125</v>
      </c>
      <c r="H132" s="53">
        <f t="shared" si="18"/>
        <v>134600.11287216091</v>
      </c>
      <c r="I132" s="54">
        <f t="shared" si="33"/>
        <v>33650.028218040228</v>
      </c>
      <c r="J132" s="54">
        <f t="shared" si="34"/>
        <v>-20416.582589688114</v>
      </c>
      <c r="K132" s="48">
        <f t="shared" si="35"/>
        <v>-0.37761905702381748</v>
      </c>
      <c r="L132" s="39">
        <f t="shared" si="24"/>
        <v>111182.69331759616</v>
      </c>
      <c r="M132" s="39">
        <f>$L132-SUM($C$12:$C132)</f>
        <v>57116.082509867818</v>
      </c>
      <c r="N132" s="62">
        <f t="shared" si="26"/>
        <v>0.51371378769098797</v>
      </c>
    </row>
    <row r="133" spans="1:14" ht="15.95" customHeight="1">
      <c r="A133" s="21" t="s">
        <v>141</v>
      </c>
      <c r="B133" s="46">
        <f t="shared" ref="B133:C133" si="62">B132</f>
        <v>179084.76965428542</v>
      </c>
      <c r="C133" s="47">
        <f t="shared" si="62"/>
        <v>605.30652143148495</v>
      </c>
      <c r="D133" s="47">
        <f t="shared" si="44"/>
        <v>54671.917329159827</v>
      </c>
      <c r="E133" s="47">
        <f t="shared" si="45"/>
        <v>44771.192413571356</v>
      </c>
      <c r="F133" s="47">
        <f t="shared" si="46"/>
        <v>-9900.724915588471</v>
      </c>
      <c r="G133" s="48">
        <f t="shared" si="47"/>
        <v>-0.18109342783754573</v>
      </c>
      <c r="H133" s="53">
        <f t="shared" si="18"/>
        <v>134600.11287216091</v>
      </c>
      <c r="I133" s="54">
        <f t="shared" si="33"/>
        <v>33650.028218040228</v>
      </c>
      <c r="J133" s="54">
        <f t="shared" si="34"/>
        <v>-21021.889111119599</v>
      </c>
      <c r="K133" s="48">
        <f t="shared" si="35"/>
        <v>-0.38450982036269943</v>
      </c>
      <c r="L133" s="46">
        <f t="shared" si="24"/>
        <v>113103.66170995253</v>
      </c>
      <c r="M133" s="46">
        <f>$L133-SUM($C$12:$C133)</f>
        <v>58431.744380792705</v>
      </c>
      <c r="N133" s="64">
        <f t="shared" si="26"/>
        <v>0.51662115529590336</v>
      </c>
    </row>
    <row r="134" spans="1:14" ht="15.95" customHeight="1">
      <c r="A134" s="21" t="s">
        <v>142</v>
      </c>
      <c r="B134" s="46">
        <f t="shared" ref="B134:C134" si="63">B133</f>
        <v>179084.76965428542</v>
      </c>
      <c r="C134" s="47">
        <f t="shared" si="63"/>
        <v>605.30652143148495</v>
      </c>
      <c r="D134" s="47">
        <f t="shared" si="44"/>
        <v>55277.223850591312</v>
      </c>
      <c r="E134" s="47">
        <f t="shared" si="45"/>
        <v>44771.192413571356</v>
      </c>
      <c r="F134" s="47">
        <f t="shared" si="46"/>
        <v>-10506.031437019956</v>
      </c>
      <c r="G134" s="48">
        <f t="shared" si="47"/>
        <v>-0.19006076472683731</v>
      </c>
      <c r="H134" s="53">
        <f t="shared" si="18"/>
        <v>134600.11287216091</v>
      </c>
      <c r="I134" s="54">
        <f t="shared" si="33"/>
        <v>33650.028218040228</v>
      </c>
      <c r="J134" s="54">
        <f t="shared" si="34"/>
        <v>-21627.195632551084</v>
      </c>
      <c r="K134" s="48">
        <f t="shared" si="35"/>
        <v>-0.39124967076869099</v>
      </c>
      <c r="L134" s="46">
        <f t="shared" si="24"/>
        <v>115047.36156161845</v>
      </c>
      <c r="M134" s="46">
        <f>$L134-SUM($C$12:$C134)</f>
        <v>59770.137711027142</v>
      </c>
      <c r="N134" s="64">
        <f t="shared" si="26"/>
        <v>0.51952636635664806</v>
      </c>
    </row>
    <row r="135" spans="1:14" ht="15.95" customHeight="1">
      <c r="A135" s="21" t="s">
        <v>143</v>
      </c>
      <c r="B135" s="46">
        <f t="shared" ref="B135:C135" si="64">B134</f>
        <v>179084.76965428542</v>
      </c>
      <c r="C135" s="47">
        <f t="shared" si="64"/>
        <v>605.30652143148495</v>
      </c>
      <c r="D135" s="47">
        <f t="shared" si="44"/>
        <v>55882.530372022797</v>
      </c>
      <c r="E135" s="47">
        <f t="shared" si="45"/>
        <v>44771.192413571356</v>
      </c>
      <c r="F135" s="47">
        <f t="shared" si="46"/>
        <v>-11111.33795845144</v>
      </c>
      <c r="G135" s="48">
        <f t="shared" si="47"/>
        <v>-0.19883383741718066</v>
      </c>
      <c r="H135" s="53">
        <f t="shared" si="18"/>
        <v>134600.11287216091</v>
      </c>
      <c r="I135" s="54">
        <f t="shared" si="33"/>
        <v>33650.028218040228</v>
      </c>
      <c r="J135" s="54">
        <f t="shared" si="34"/>
        <v>-22232.502153982568</v>
      </c>
      <c r="K135" s="48">
        <f t="shared" si="35"/>
        <v>-0.39784351220275305</v>
      </c>
      <c r="L135" s="46">
        <f t="shared" si="24"/>
        <v>117014.06186152909</v>
      </c>
      <c r="M135" s="46">
        <f>$L135-SUM($C$12:$C135)</f>
        <v>61131.531489506291</v>
      </c>
      <c r="N135" s="64">
        <f t="shared" si="26"/>
        <v>0.52242893304436777</v>
      </c>
    </row>
    <row r="136" spans="1:14" ht="15.95" customHeight="1">
      <c r="A136" s="21" t="s">
        <v>144</v>
      </c>
      <c r="B136" s="46">
        <f t="shared" ref="B136:C136" si="65">B135</f>
        <v>179084.76965428542</v>
      </c>
      <c r="C136" s="47">
        <f t="shared" si="65"/>
        <v>605.30652143148495</v>
      </c>
      <c r="D136" s="47">
        <f t="shared" si="44"/>
        <v>56487.836893454281</v>
      </c>
      <c r="E136" s="47">
        <f t="shared" si="45"/>
        <v>44771.192413571356</v>
      </c>
      <c r="F136" s="47">
        <f t="shared" si="46"/>
        <v>-11716.644479882925</v>
      </c>
      <c r="G136" s="48">
        <f t="shared" si="47"/>
        <v>-0.20741889093722105</v>
      </c>
      <c r="H136" s="53">
        <f t="shared" si="18"/>
        <v>134600.11287216091</v>
      </c>
      <c r="I136" s="54">
        <f t="shared" si="33"/>
        <v>33650.028218040228</v>
      </c>
      <c r="J136" s="54">
        <f t="shared" si="34"/>
        <v>-22837.808675414053</v>
      </c>
      <c r="K136" s="48">
        <f t="shared" si="35"/>
        <v>-0.40429603842841538</v>
      </c>
      <c r="L136" s="46">
        <f t="shared" si="24"/>
        <v>119004.03478165534</v>
      </c>
      <c r="M136" s="46">
        <f>$L136-SUM($C$12:$C136)</f>
        <v>62516.197888201059</v>
      </c>
      <c r="N136" s="64">
        <f t="shared" si="26"/>
        <v>0.52532838909961088</v>
      </c>
    </row>
    <row r="137" spans="1:14" ht="15.95" customHeight="1">
      <c r="A137" s="21" t="s">
        <v>145</v>
      </c>
      <c r="B137" s="46">
        <f t="shared" ref="B137:C137" si="66">B136</f>
        <v>179084.76965428542</v>
      </c>
      <c r="C137" s="47">
        <f t="shared" si="66"/>
        <v>605.30652143148495</v>
      </c>
      <c r="D137" s="47">
        <f t="shared" si="44"/>
        <v>57093.143414885766</v>
      </c>
      <c r="E137" s="47">
        <f t="shared" si="45"/>
        <v>44771.192413571356</v>
      </c>
      <c r="F137" s="47">
        <f t="shared" si="46"/>
        <v>-12321.95100131441</v>
      </c>
      <c r="G137" s="48">
        <f t="shared" si="47"/>
        <v>-0.21582190547423485</v>
      </c>
      <c r="H137" s="53">
        <f t="shared" si="18"/>
        <v>134600.11287216091</v>
      </c>
      <c r="I137" s="54">
        <f t="shared" si="33"/>
        <v>33650.028218040228</v>
      </c>
      <c r="J137" s="54">
        <f t="shared" si="34"/>
        <v>-23443.115196845538</v>
      </c>
      <c r="K137" s="48">
        <f t="shared" si="35"/>
        <v>-0.41061174415443497</v>
      </c>
      <c r="L137" s="46">
        <f t="shared" si="24"/>
        <v>121017.55571466975</v>
      </c>
      <c r="M137" s="46">
        <f>$L137-SUM($C$12:$C137)</f>
        <v>63924.412299783988</v>
      </c>
      <c r="N137" s="64">
        <f t="shared" si="26"/>
        <v>0.52822428880072869</v>
      </c>
    </row>
    <row r="138" spans="1:14" ht="15.95" customHeight="1">
      <c r="A138" s="21" t="s">
        <v>146</v>
      </c>
      <c r="B138" s="46">
        <f t="shared" ref="B138:C138" si="67">B137</f>
        <v>179084.76965428542</v>
      </c>
      <c r="C138" s="47">
        <f t="shared" si="67"/>
        <v>605.30652143148495</v>
      </c>
      <c r="D138" s="47">
        <f t="shared" si="44"/>
        <v>57698.449936317251</v>
      </c>
      <c r="E138" s="47">
        <f t="shared" si="45"/>
        <v>44771.192413571356</v>
      </c>
      <c r="F138" s="47">
        <f t="shared" si="46"/>
        <v>-12927.257522745895</v>
      </c>
      <c r="G138" s="48">
        <f t="shared" si="47"/>
        <v>-0.22404861026620171</v>
      </c>
      <c r="H138" s="53">
        <f t="shared" si="18"/>
        <v>134600.11287216091</v>
      </c>
      <c r="I138" s="54">
        <f t="shared" si="33"/>
        <v>33650.028218040228</v>
      </c>
      <c r="J138" s="54">
        <f t="shared" si="34"/>
        <v>-24048.421718277023</v>
      </c>
      <c r="K138" s="48">
        <f t="shared" si="35"/>
        <v>-0.41679493547607727</v>
      </c>
      <c r="L138" s="46">
        <f t="shared" si="24"/>
        <v>123054.90331205817</v>
      </c>
      <c r="M138" s="46">
        <f>$L138-SUM($C$12:$C138)</f>
        <v>65356.453375740923</v>
      </c>
      <c r="N138" s="64">
        <f t="shared" si="26"/>
        <v>0.5311162059914164</v>
      </c>
    </row>
    <row r="139" spans="1:14" ht="15.95" customHeight="1">
      <c r="A139" s="21" t="s">
        <v>147</v>
      </c>
      <c r="B139" s="46">
        <f t="shared" ref="B139:C139" si="68">B138</f>
        <v>179084.76965428542</v>
      </c>
      <c r="C139" s="47">
        <f t="shared" si="68"/>
        <v>605.30652143148495</v>
      </c>
      <c r="D139" s="47">
        <f t="shared" si="44"/>
        <v>58303.756457748736</v>
      </c>
      <c r="E139" s="47">
        <f t="shared" si="45"/>
        <v>44771.192413571356</v>
      </c>
      <c r="F139" s="47">
        <f t="shared" si="46"/>
        <v>-13532.564044177379</v>
      </c>
      <c r="G139" s="48">
        <f t="shared" si="47"/>
        <v>-0.23210449662851634</v>
      </c>
      <c r="H139" s="53">
        <f t="shared" si="18"/>
        <v>134600.11287216091</v>
      </c>
      <c r="I139" s="54">
        <f t="shared" si="33"/>
        <v>33650.028218040228</v>
      </c>
      <c r="J139" s="54">
        <f t="shared" si="34"/>
        <v>-24653.728239708507</v>
      </c>
      <c r="K139" s="48">
        <f t="shared" si="35"/>
        <v>-0.42284973966599293</v>
      </c>
      <c r="L139" s="46">
        <f t="shared" si="24"/>
        <v>125116.35952268235</v>
      </c>
      <c r="M139" s="46">
        <f>$L139-SUM($C$12:$C139)</f>
        <v>66812.603064933617</v>
      </c>
      <c r="N139" s="64">
        <f t="shared" si="26"/>
        <v>0.53400373316345695</v>
      </c>
    </row>
    <row r="140" spans="1:14" ht="15.95" customHeight="1">
      <c r="A140" s="21" t="s">
        <v>148</v>
      </c>
      <c r="B140" s="46">
        <f t="shared" ref="B140:C140" si="69">B139</f>
        <v>179084.76965428542</v>
      </c>
      <c r="C140" s="47">
        <f t="shared" si="69"/>
        <v>605.30652143148495</v>
      </c>
      <c r="D140" s="47">
        <f t="shared" si="44"/>
        <v>58909.06297918022</v>
      </c>
      <c r="E140" s="47">
        <f t="shared" si="45"/>
        <v>44771.192413571356</v>
      </c>
      <c r="F140" s="47">
        <f t="shared" si="46"/>
        <v>-14137.870565608864</v>
      </c>
      <c r="G140" s="48">
        <f t="shared" si="47"/>
        <v>-0.23999483017758241</v>
      </c>
      <c r="H140" s="53">
        <f t="shared" ref="H140:H203" si="70">B140-(((B140*(1+$Q$12))/$E$8)*$Q$14)</f>
        <v>134600.11287216091</v>
      </c>
      <c r="I140" s="54">
        <f t="shared" si="33"/>
        <v>33650.028218040228</v>
      </c>
      <c r="J140" s="54">
        <f t="shared" si="34"/>
        <v>-25259.034761139992</v>
      </c>
      <c r="K140" s="48">
        <f t="shared" si="35"/>
        <v>-0.42878011436147101</v>
      </c>
      <c r="L140" s="46">
        <f t="shared" si="24"/>
        <v>127202.20963179892</v>
      </c>
      <c r="M140" s="46">
        <f>$L140-SUM($C$12:$C140)</f>
        <v>68293.1466526187</v>
      </c>
      <c r="N140" s="64">
        <f t="shared" si="26"/>
        <v>0.53688648059102806</v>
      </c>
    </row>
    <row r="141" spans="1:14" ht="15.95" customHeight="1">
      <c r="A141" s="21" t="s">
        <v>149</v>
      </c>
      <c r="B141" s="46">
        <f t="shared" ref="B141:C141" si="71">B140</f>
        <v>179084.76965428542</v>
      </c>
      <c r="C141" s="47">
        <f t="shared" si="71"/>
        <v>605.30652143148495</v>
      </c>
      <c r="D141" s="47">
        <f t="shared" si="44"/>
        <v>59514.369500611705</v>
      </c>
      <c r="E141" s="47">
        <f t="shared" si="45"/>
        <v>44771.192413571356</v>
      </c>
      <c r="F141" s="47">
        <f t="shared" si="46"/>
        <v>-14743.177087040349</v>
      </c>
      <c r="G141" s="48">
        <f t="shared" si="47"/>
        <v>-0.24772466230846676</v>
      </c>
      <c r="H141" s="53">
        <f t="shared" si="70"/>
        <v>134600.11287216091</v>
      </c>
      <c r="I141" s="54">
        <f t="shared" si="33"/>
        <v>33650.028218040228</v>
      </c>
      <c r="J141" s="54">
        <f t="shared" si="34"/>
        <v>-25864.341282571477</v>
      </c>
      <c r="K141" s="48">
        <f t="shared" si="35"/>
        <v>-0.43458985619104368</v>
      </c>
      <c r="L141" s="46">
        <f t="shared" ref="L141:L204" si="72">(L140*(1+($H$8/12)))+C141</f>
        <v>129312.74230054003</v>
      </c>
      <c r="M141" s="46">
        <f>$L141-SUM($C$12:$C141)</f>
        <v>69798.372799928329</v>
      </c>
      <c r="N141" s="64">
        <f t="shared" si="26"/>
        <v>0.53976407551320515</v>
      </c>
    </row>
    <row r="142" spans="1:14" ht="15.95" customHeight="1">
      <c r="A142" s="21" t="s">
        <v>150</v>
      </c>
      <c r="B142" s="46">
        <f t="shared" ref="B142:C142" si="73">B141</f>
        <v>179084.76965428542</v>
      </c>
      <c r="C142" s="47">
        <f t="shared" si="73"/>
        <v>605.30652143148495</v>
      </c>
      <c r="D142" s="47">
        <f t="shared" si="44"/>
        <v>60119.67602204319</v>
      </c>
      <c r="E142" s="47">
        <f t="shared" si="45"/>
        <v>44771.192413571356</v>
      </c>
      <c r="F142" s="47">
        <f t="shared" si="46"/>
        <v>-15348.483608471834</v>
      </c>
      <c r="G142" s="48">
        <f t="shared" si="47"/>
        <v>-0.25529884097918681</v>
      </c>
      <c r="H142" s="53">
        <f t="shared" si="70"/>
        <v>134600.11287216091</v>
      </c>
      <c r="I142" s="54">
        <f t="shared" si="33"/>
        <v>33650.028218040228</v>
      </c>
      <c r="J142" s="54">
        <f t="shared" si="34"/>
        <v>-26469.647804002961</v>
      </c>
      <c r="K142" s="48">
        <f t="shared" si="35"/>
        <v>-0.44028260887995685</v>
      </c>
      <c r="L142" s="46">
        <f t="shared" si="72"/>
        <v>131448.24960586126</v>
      </c>
      <c r="M142" s="46">
        <f>$L142-SUM($C$12:$C142)</f>
        <v>71328.57358381807</v>
      </c>
      <c r="N142" s="64">
        <f t="shared" ref="N142:N205" si="74">M142/L142</f>
        <v>0.54263616136153969</v>
      </c>
    </row>
    <row r="143" spans="1:14" ht="15.95" customHeight="1">
      <c r="A143" s="17" t="s">
        <v>151</v>
      </c>
      <c r="B143" s="40">
        <f t="shared" ref="B143:C143" si="75">B142</f>
        <v>179084.76965428542</v>
      </c>
      <c r="C143" s="15">
        <f t="shared" si="75"/>
        <v>605.30652143148495</v>
      </c>
      <c r="D143" s="15">
        <f t="shared" si="44"/>
        <v>60724.982543474674</v>
      </c>
      <c r="E143" s="15">
        <f t="shared" si="45"/>
        <v>44771.192413571356</v>
      </c>
      <c r="F143" s="15">
        <f t="shared" si="46"/>
        <v>-15953.790129903318</v>
      </c>
      <c r="G143" s="16">
        <f t="shared" si="47"/>
        <v>-0.26272202085001117</v>
      </c>
      <c r="H143" s="37">
        <f t="shared" si="70"/>
        <v>134600.11287216091</v>
      </c>
      <c r="I143" s="23">
        <f t="shared" si="33"/>
        <v>33650.028218040228</v>
      </c>
      <c r="J143" s="23">
        <f t="shared" si="34"/>
        <v>-27074.954325434446</v>
      </c>
      <c r="K143" s="24">
        <f t="shared" si="35"/>
        <v>-0.44586187087086843</v>
      </c>
      <c r="L143" s="58">
        <f t="shared" si="72"/>
        <v>133609.02708096211</v>
      </c>
      <c r="M143" s="58">
        <f>$L143-SUM($C$12:$C143)</f>
        <v>72884.04453748744</v>
      </c>
      <c r="N143" s="63">
        <f t="shared" si="74"/>
        <v>0.5455023970298235</v>
      </c>
    </row>
    <row r="144" spans="1:14" ht="15.95" customHeight="1">
      <c r="A144" s="21" t="s">
        <v>152</v>
      </c>
      <c r="B144" s="39">
        <f>B143*(1+$F$8)</f>
        <v>189829.85583354256</v>
      </c>
      <c r="C144" s="11">
        <f>C143*(1+$F$8)</f>
        <v>641.62491271737406</v>
      </c>
      <c r="D144" s="47">
        <f t="shared" si="44"/>
        <v>61366.607456192047</v>
      </c>
      <c r="E144" s="47">
        <f t="shared" si="45"/>
        <v>47457.463958385641</v>
      </c>
      <c r="F144" s="47">
        <f t="shared" si="46"/>
        <v>-13909.143497806406</v>
      </c>
      <c r="G144" s="48">
        <f t="shared" si="47"/>
        <v>-0.22665654945543087</v>
      </c>
      <c r="H144" s="53">
        <f t="shared" si="70"/>
        <v>142676.11964449059</v>
      </c>
      <c r="I144" s="54">
        <f t="shared" si="33"/>
        <v>35669.029911122649</v>
      </c>
      <c r="J144" s="54">
        <f t="shared" si="34"/>
        <v>-25697.577545069398</v>
      </c>
      <c r="K144" s="48">
        <f t="shared" si="35"/>
        <v>-0.41875506257070183</v>
      </c>
      <c r="L144" s="39">
        <f t="shared" si="72"/>
        <v>135831.69214747089</v>
      </c>
      <c r="M144" s="39">
        <f>$L144-SUM($C$12:$C144)</f>
        <v>74465.08469127884</v>
      </c>
      <c r="N144" s="62">
        <f t="shared" si="74"/>
        <v>0.54821583618669023</v>
      </c>
    </row>
    <row r="145" spans="1:14" ht="15.95" customHeight="1">
      <c r="A145" s="21" t="s">
        <v>153</v>
      </c>
      <c r="B145" s="46">
        <f t="shared" ref="B145:C145" si="76">B144</f>
        <v>189829.85583354256</v>
      </c>
      <c r="C145" s="47">
        <f t="shared" si="76"/>
        <v>641.62491271737406</v>
      </c>
      <c r="D145" s="47">
        <f t="shared" si="44"/>
        <v>62008.232368909419</v>
      </c>
      <c r="E145" s="47">
        <f t="shared" si="45"/>
        <v>47457.463958385641</v>
      </c>
      <c r="F145" s="47">
        <f t="shared" si="46"/>
        <v>-14550.768410523779</v>
      </c>
      <c r="G145" s="48">
        <f t="shared" si="47"/>
        <v>-0.23465865506302439</v>
      </c>
      <c r="H145" s="53">
        <f t="shared" si="70"/>
        <v>142676.11964449059</v>
      </c>
      <c r="I145" s="54">
        <f t="shared" si="33"/>
        <v>35669.029911122649</v>
      </c>
      <c r="J145" s="54">
        <f t="shared" si="34"/>
        <v>-26339.202457786771</v>
      </c>
      <c r="K145" s="48">
        <f t="shared" si="35"/>
        <v>-0.42476944514536913</v>
      </c>
      <c r="L145" s="46">
        <f t="shared" si="72"/>
        <v>138080.65875060001</v>
      </c>
      <c r="M145" s="46">
        <f>$L145-SUM($C$12:$C145)</f>
        <v>76072.426381690588</v>
      </c>
      <c r="N145" s="64">
        <f t="shared" si="74"/>
        <v>0.55092745841466395</v>
      </c>
    </row>
    <row r="146" spans="1:14" ht="15.95" customHeight="1">
      <c r="A146" s="21" t="s">
        <v>154</v>
      </c>
      <c r="B146" s="46">
        <f t="shared" ref="B146:C146" si="77">B145</f>
        <v>189829.85583354256</v>
      </c>
      <c r="C146" s="47">
        <f t="shared" si="77"/>
        <v>641.62491271737406</v>
      </c>
      <c r="D146" s="47">
        <f t="shared" si="44"/>
        <v>62649.857281626792</v>
      </c>
      <c r="E146" s="47">
        <f t="shared" si="45"/>
        <v>47457.463958385641</v>
      </c>
      <c r="F146" s="47">
        <f t="shared" si="46"/>
        <v>-15192.393323241151</v>
      </c>
      <c r="G146" s="48">
        <f t="shared" si="47"/>
        <v>-0.24249685446125663</v>
      </c>
      <c r="H146" s="53">
        <f t="shared" si="70"/>
        <v>142676.11964449059</v>
      </c>
      <c r="I146" s="54">
        <f t="shared" si="33"/>
        <v>35669.029911122649</v>
      </c>
      <c r="J146" s="54">
        <f t="shared" si="34"/>
        <v>-26980.827370504143</v>
      </c>
      <c r="K146" s="48">
        <f t="shared" si="35"/>
        <v>-0.43066063581308045</v>
      </c>
      <c r="L146" s="46">
        <f t="shared" si="72"/>
        <v>140356.23812519948</v>
      </c>
      <c r="M146" s="46">
        <f>$L146-SUM($C$12:$C146)</f>
        <v>77706.380843572697</v>
      </c>
      <c r="N146" s="64">
        <f t="shared" si="74"/>
        <v>0.5536368164431541</v>
      </c>
    </row>
    <row r="147" spans="1:14" ht="15.95" customHeight="1">
      <c r="A147" s="21" t="s">
        <v>155</v>
      </c>
      <c r="B147" s="46">
        <f t="shared" ref="B147:C147" si="78">B146</f>
        <v>189829.85583354256</v>
      </c>
      <c r="C147" s="47">
        <f t="shared" si="78"/>
        <v>641.62491271737406</v>
      </c>
      <c r="D147" s="47">
        <f t="shared" si="44"/>
        <v>63291.482194344164</v>
      </c>
      <c r="E147" s="47">
        <f t="shared" si="45"/>
        <v>47457.463958385641</v>
      </c>
      <c r="F147" s="47">
        <f t="shared" si="46"/>
        <v>-15834.018235958523</v>
      </c>
      <c r="G147" s="48">
        <f t="shared" si="47"/>
        <v>-0.25017613250608117</v>
      </c>
      <c r="H147" s="53">
        <f t="shared" si="70"/>
        <v>142676.11964449059</v>
      </c>
      <c r="I147" s="54">
        <f t="shared" si="33"/>
        <v>35669.029911122649</v>
      </c>
      <c r="J147" s="54">
        <f t="shared" si="34"/>
        <v>-27622.452283221515</v>
      </c>
      <c r="K147" s="48">
        <f t="shared" si="35"/>
        <v>-0.43643238119157057</v>
      </c>
      <c r="L147" s="46">
        <f t="shared" si="72"/>
        <v>142658.74518906506</v>
      </c>
      <c r="M147" s="46">
        <f>$L147-SUM($C$12:$C147)</f>
        <v>79367.262994720892</v>
      </c>
      <c r="N147" s="64">
        <f t="shared" si="74"/>
        <v>0.55634348170899572</v>
      </c>
    </row>
    <row r="148" spans="1:14" ht="15.95" customHeight="1">
      <c r="A148" s="21" t="s">
        <v>156</v>
      </c>
      <c r="B148" s="46">
        <f t="shared" ref="B148:C148" si="79">B147</f>
        <v>189829.85583354256</v>
      </c>
      <c r="C148" s="47">
        <f t="shared" si="79"/>
        <v>641.62491271737406</v>
      </c>
      <c r="D148" s="47">
        <f t="shared" si="44"/>
        <v>63933.107107061536</v>
      </c>
      <c r="E148" s="47">
        <f t="shared" si="45"/>
        <v>47457.463958385641</v>
      </c>
      <c r="F148" s="47">
        <f t="shared" si="46"/>
        <v>-16475.643148675896</v>
      </c>
      <c r="G148" s="48">
        <f t="shared" si="47"/>
        <v>-0.25770127394381132</v>
      </c>
      <c r="H148" s="53">
        <f t="shared" si="70"/>
        <v>142676.11964449059</v>
      </c>
      <c r="I148" s="54">
        <f t="shared" si="33"/>
        <v>35669.029911122649</v>
      </c>
      <c r="J148" s="54">
        <f t="shared" si="34"/>
        <v>-28264.077195938888</v>
      </c>
      <c r="K148" s="48">
        <f t="shared" si="35"/>
        <v>-0.44208827749616858</v>
      </c>
      <c r="L148" s="46">
        <f t="shared" si="72"/>
        <v>144988.49858651971</v>
      </c>
      <c r="M148" s="46">
        <f>$L148-SUM($C$12:$C148)</f>
        <v>81055.391479458165</v>
      </c>
      <c r="N148" s="64">
        <f t="shared" si="74"/>
        <v>0.55904704352179757</v>
      </c>
    </row>
    <row r="149" spans="1:14" ht="15.95" customHeight="1">
      <c r="A149" s="21" t="s">
        <v>157</v>
      </c>
      <c r="B149" s="46">
        <f t="shared" ref="B149:C149" si="80">B148</f>
        <v>189829.85583354256</v>
      </c>
      <c r="C149" s="47">
        <f t="shared" si="80"/>
        <v>641.62491271737406</v>
      </c>
      <c r="D149" s="47">
        <f t="shared" si="44"/>
        <v>64574.732019778909</v>
      </c>
      <c r="E149" s="47">
        <f t="shared" si="45"/>
        <v>47457.463958385641</v>
      </c>
      <c r="F149" s="47">
        <f t="shared" si="46"/>
        <v>-17117.268061393268</v>
      </c>
      <c r="G149" s="48">
        <f t="shared" si="47"/>
        <v>-0.26507687335272778</v>
      </c>
      <c r="H149" s="53">
        <f t="shared" si="70"/>
        <v>142676.11964449059</v>
      </c>
      <c r="I149" s="54">
        <f t="shared" si="33"/>
        <v>35669.029911122649</v>
      </c>
      <c r="J149" s="54">
        <f t="shared" si="34"/>
        <v>-28905.70210865626</v>
      </c>
      <c r="K149" s="48">
        <f t="shared" si="35"/>
        <v>-0.44763177801191018</v>
      </c>
      <c r="L149" s="46">
        <f t="shared" si="72"/>
        <v>147345.82073251091</v>
      </c>
      <c r="M149" s="46">
        <f>$L149-SUM($C$12:$C149)</f>
        <v>82771.088712732002</v>
      </c>
      <c r="N149" s="64">
        <f t="shared" si="74"/>
        <v>0.56174710827389684</v>
      </c>
    </row>
    <row r="150" spans="1:14" ht="15.95" customHeight="1">
      <c r="A150" s="21" t="s">
        <v>158</v>
      </c>
      <c r="B150" s="46">
        <f t="shared" ref="B150:C150" si="81">B149</f>
        <v>189829.85583354256</v>
      </c>
      <c r="C150" s="47">
        <f t="shared" si="81"/>
        <v>641.62491271737406</v>
      </c>
      <c r="D150" s="47">
        <f t="shared" si="44"/>
        <v>65216.356932496281</v>
      </c>
      <c r="E150" s="47">
        <f t="shared" si="45"/>
        <v>47457.463958385641</v>
      </c>
      <c r="F150" s="47">
        <f t="shared" si="46"/>
        <v>-17758.89297411064</v>
      </c>
      <c r="G150" s="48">
        <f t="shared" si="47"/>
        <v>-0.27230734449782895</v>
      </c>
      <c r="H150" s="53">
        <f t="shared" si="70"/>
        <v>142676.11964449059</v>
      </c>
      <c r="I150" s="54">
        <f t="shared" si="33"/>
        <v>35669.029911122649</v>
      </c>
      <c r="J150" s="54">
        <f t="shared" si="34"/>
        <v>-29547.327021373632</v>
      </c>
      <c r="K150" s="48">
        <f t="shared" si="35"/>
        <v>-0.45306620012456822</v>
      </c>
      <c r="L150" s="46">
        <f t="shared" si="72"/>
        <v>149731.03785722968</v>
      </c>
      <c r="M150" s="46">
        <f>$L150-SUM($C$12:$C150)</f>
        <v>84514.680924733402</v>
      </c>
      <c r="N150" s="64">
        <f t="shared" si="74"/>
        <v>0.5644432986921466</v>
      </c>
    </row>
    <row r="151" spans="1:14" ht="15.95" customHeight="1">
      <c r="A151" s="21" t="s">
        <v>159</v>
      </c>
      <c r="B151" s="46">
        <f t="shared" ref="B151:C151" si="82">B150</f>
        <v>189829.85583354256</v>
      </c>
      <c r="C151" s="47">
        <f t="shared" si="82"/>
        <v>641.62491271737406</v>
      </c>
      <c r="D151" s="47">
        <f t="shared" si="44"/>
        <v>65857.981845213653</v>
      </c>
      <c r="E151" s="47">
        <f t="shared" si="45"/>
        <v>47457.463958385641</v>
      </c>
      <c r="F151" s="47">
        <f t="shared" si="46"/>
        <v>-18400.517886828013</v>
      </c>
      <c r="G151" s="48">
        <f t="shared" si="47"/>
        <v>-0.27939692913874647</v>
      </c>
      <c r="H151" s="53">
        <f t="shared" si="70"/>
        <v>142676.11964449059</v>
      </c>
      <c r="I151" s="54">
        <f t="shared" si="33"/>
        <v>35669.029911122649</v>
      </c>
      <c r="J151" s="54">
        <f t="shared" si="34"/>
        <v>-30188.951934091005</v>
      </c>
      <c r="K151" s="48">
        <f t="shared" si="35"/>
        <v>-0.45839473194068187</v>
      </c>
      <c r="L151" s="46">
        <f t="shared" si="72"/>
        <v>152144.48005125762</v>
      </c>
      <c r="M151" s="46">
        <f>$L151-SUM($C$12:$C151)</f>
        <v>86286.498206043965</v>
      </c>
      <c r="N151" s="64">
        <f t="shared" si="74"/>
        <v>0.56713525312895985</v>
      </c>
    </row>
    <row r="152" spans="1:14" ht="15.95" customHeight="1">
      <c r="A152" s="21" t="s">
        <v>160</v>
      </c>
      <c r="B152" s="46">
        <f t="shared" ref="B152:C152" si="83">B151</f>
        <v>189829.85583354256</v>
      </c>
      <c r="C152" s="47">
        <f t="shared" si="83"/>
        <v>641.62491271737406</v>
      </c>
      <c r="D152" s="47">
        <f t="shared" si="44"/>
        <v>66499.606757931033</v>
      </c>
      <c r="E152" s="47">
        <f t="shared" si="45"/>
        <v>47457.463958385641</v>
      </c>
      <c r="F152" s="47">
        <f t="shared" si="46"/>
        <v>-19042.142799545392</v>
      </c>
      <c r="G152" s="48">
        <f t="shared" si="47"/>
        <v>-0.28634970532775883</v>
      </c>
      <c r="H152" s="53">
        <f t="shared" si="70"/>
        <v>142676.11964449059</v>
      </c>
      <c r="I152" s="54">
        <f t="shared" si="33"/>
        <v>35669.029911122649</v>
      </c>
      <c r="J152" s="54">
        <f t="shared" si="34"/>
        <v>-30830.576846808384</v>
      </c>
      <c r="K152" s="48">
        <f t="shared" si="35"/>
        <v>-0.46362043852434354</v>
      </c>
      <c r="L152" s="46">
        <f t="shared" si="72"/>
        <v>154586.48131124821</v>
      </c>
      <c r="M152" s="46">
        <f>$L152-SUM($C$12:$C152)</f>
        <v>88086.874553317175</v>
      </c>
      <c r="N152" s="64">
        <f t="shared" si="74"/>
        <v>0.56982262489021218</v>
      </c>
    </row>
    <row r="153" spans="1:14" ht="15.95" customHeight="1">
      <c r="A153" s="21" t="s">
        <v>161</v>
      </c>
      <c r="B153" s="46">
        <f t="shared" ref="B153:C153" si="84">B152</f>
        <v>189829.85583354256</v>
      </c>
      <c r="C153" s="47">
        <f t="shared" si="84"/>
        <v>641.62491271737406</v>
      </c>
      <c r="D153" s="47">
        <f t="shared" si="44"/>
        <v>67141.231670648413</v>
      </c>
      <c r="E153" s="47">
        <f t="shared" si="45"/>
        <v>47457.463958385641</v>
      </c>
      <c r="F153" s="47">
        <f t="shared" si="46"/>
        <v>-19683.767712262772</v>
      </c>
      <c r="G153" s="48">
        <f t="shared" si="47"/>
        <v>-0.29316959523201247</v>
      </c>
      <c r="H153" s="53">
        <f t="shared" si="70"/>
        <v>142676.11964449059</v>
      </c>
      <c r="I153" s="54">
        <f t="shared" si="33"/>
        <v>35669.029911122649</v>
      </c>
      <c r="J153" s="54">
        <f t="shared" si="34"/>
        <v>-31472.201759525764</v>
      </c>
      <c r="K153" s="48">
        <f t="shared" si="35"/>
        <v>-0.46874626777638057</v>
      </c>
      <c r="L153" s="46">
        <f t="shared" si="72"/>
        <v>157057.37958614869</v>
      </c>
      <c r="M153" s="46">
        <f>$L153-SUM($C$12:$C153)</f>
        <v>89916.147915500274</v>
      </c>
      <c r="N153" s="64">
        <f t="shared" si="74"/>
        <v>0.5725050815977718</v>
      </c>
    </row>
    <row r="154" spans="1:14" ht="15.95" customHeight="1">
      <c r="A154" s="21" t="s">
        <v>162</v>
      </c>
      <c r="B154" s="46">
        <f t="shared" ref="B154:C154" si="85">B153</f>
        <v>189829.85583354256</v>
      </c>
      <c r="C154" s="47">
        <f t="shared" si="85"/>
        <v>641.62491271737406</v>
      </c>
      <c r="D154" s="47">
        <f t="shared" si="44"/>
        <v>67782.856583365792</v>
      </c>
      <c r="E154" s="47">
        <f t="shared" si="45"/>
        <v>47457.463958385641</v>
      </c>
      <c r="F154" s="47">
        <f t="shared" si="46"/>
        <v>-20325.392624980152</v>
      </c>
      <c r="G154" s="48">
        <f t="shared" si="47"/>
        <v>-0.29986037251147796</v>
      </c>
      <c r="H154" s="53">
        <f t="shared" si="70"/>
        <v>142676.11964449059</v>
      </c>
      <c r="I154" s="54">
        <f t="shared" si="33"/>
        <v>35669.029911122649</v>
      </c>
      <c r="J154" s="54">
        <f t="shared" si="34"/>
        <v>-32113.826672243144</v>
      </c>
      <c r="K154" s="48">
        <f t="shared" si="35"/>
        <v>-0.47377505597962682</v>
      </c>
      <c r="L154" s="46">
        <f t="shared" si="72"/>
        <v>159557.51682396882</v>
      </c>
      <c r="M154" s="46">
        <f>$L154-SUM($C$12:$C154)</f>
        <v>91774.660240603029</v>
      </c>
      <c r="N154" s="64">
        <f t="shared" si="74"/>
        <v>0.57518230458457842</v>
      </c>
    </row>
    <row r="155" spans="1:14" ht="15.95" customHeight="1">
      <c r="A155" s="17" t="s">
        <v>163</v>
      </c>
      <c r="B155" s="40">
        <f t="shared" ref="B155:C155" si="86">B154</f>
        <v>189829.85583354256</v>
      </c>
      <c r="C155" s="15">
        <f t="shared" si="86"/>
        <v>641.62491271737406</v>
      </c>
      <c r="D155" s="15">
        <f t="shared" si="44"/>
        <v>68424.481496083172</v>
      </c>
      <c r="E155" s="15">
        <f t="shared" si="45"/>
        <v>47457.463958385641</v>
      </c>
      <c r="F155" s="15">
        <f t="shared" si="46"/>
        <v>-20967.017537697531</v>
      </c>
      <c r="G155" s="16">
        <f t="shared" si="47"/>
        <v>-0.30642566928180154</v>
      </c>
      <c r="H155" s="37">
        <f t="shared" si="70"/>
        <v>142676.11964449059</v>
      </c>
      <c r="I155" s="23">
        <f t="shared" si="33"/>
        <v>35669.029911122649</v>
      </c>
      <c r="J155" s="23">
        <f t="shared" si="34"/>
        <v>-32755.451584960523</v>
      </c>
      <c r="K155" s="24">
        <f t="shared" si="35"/>
        <v>-0.47870953303220204</v>
      </c>
      <c r="L155" s="58">
        <f t="shared" si="72"/>
        <v>162087.23901910317</v>
      </c>
      <c r="M155" s="58">
        <f>$L155-SUM($C$12:$C155)</f>
        <v>93662.757523020002</v>
      </c>
      <c r="N155" s="63">
        <f t="shared" si="74"/>
        <v>0.57785398832033386</v>
      </c>
    </row>
    <row r="156" spans="1:14" ht="15.95" customHeight="1">
      <c r="A156" s="21" t="s">
        <v>164</v>
      </c>
      <c r="B156" s="39">
        <f>B155*(1+$F$8)</f>
        <v>201219.64718355512</v>
      </c>
      <c r="C156" s="11">
        <f>C155*(1+$F$8)</f>
        <v>680.12240748041654</v>
      </c>
      <c r="D156" s="47">
        <f t="shared" si="44"/>
        <v>69104.603903563591</v>
      </c>
      <c r="E156" s="47">
        <f t="shared" si="45"/>
        <v>50304.91179588878</v>
      </c>
      <c r="F156" s="47">
        <f t="shared" si="46"/>
        <v>-18799.692107674811</v>
      </c>
      <c r="G156" s="48">
        <f t="shared" si="47"/>
        <v>-0.27204688321359943</v>
      </c>
      <c r="H156" s="53">
        <f t="shared" si="70"/>
        <v>151236.68682316004</v>
      </c>
      <c r="I156" s="54">
        <f t="shared" si="33"/>
        <v>37809.17170579001</v>
      </c>
      <c r="J156" s="54">
        <f t="shared" si="34"/>
        <v>-31295.432197773582</v>
      </c>
      <c r="K156" s="48">
        <f t="shared" si="35"/>
        <v>-0.45287043742334127</v>
      </c>
      <c r="L156" s="39">
        <f t="shared" si="72"/>
        <v>164685.39375497631</v>
      </c>
      <c r="M156" s="39">
        <f>$L156-SUM($C$12:$C156)</f>
        <v>95580.789851412716</v>
      </c>
      <c r="N156" s="62">
        <f t="shared" si="74"/>
        <v>0.58038413530237287</v>
      </c>
    </row>
    <row r="157" spans="1:14" ht="15.95" customHeight="1">
      <c r="A157" s="21" t="s">
        <v>165</v>
      </c>
      <c r="B157" s="46">
        <f t="shared" ref="B157:C157" si="87">B156</f>
        <v>201219.64718355512</v>
      </c>
      <c r="C157" s="47">
        <f t="shared" si="87"/>
        <v>680.12240748041654</v>
      </c>
      <c r="D157" s="47">
        <f t="shared" si="44"/>
        <v>69784.726311044011</v>
      </c>
      <c r="E157" s="47">
        <f t="shared" si="45"/>
        <v>50304.91179588878</v>
      </c>
      <c r="F157" s="47">
        <f t="shared" si="46"/>
        <v>-19479.814515155231</v>
      </c>
      <c r="G157" s="48">
        <f t="shared" si="47"/>
        <v>-0.27914151913887192</v>
      </c>
      <c r="H157" s="53">
        <f t="shared" si="70"/>
        <v>151236.68682316004</v>
      </c>
      <c r="I157" s="54">
        <f t="shared" si="33"/>
        <v>37809.17170579001</v>
      </c>
      <c r="J157" s="54">
        <f t="shared" si="34"/>
        <v>-31975.554605254001</v>
      </c>
      <c r="K157" s="48">
        <f t="shared" si="35"/>
        <v>-0.45820276578477609</v>
      </c>
      <c r="L157" s="46">
        <f t="shared" si="72"/>
        <v>167314.29332189061</v>
      </c>
      <c r="M157" s="46">
        <f>$L157-SUM($C$12:$C157)</f>
        <v>97529.5670108466</v>
      </c>
      <c r="N157" s="64">
        <f t="shared" si="74"/>
        <v>0.58291234463281982</v>
      </c>
    </row>
    <row r="158" spans="1:14" ht="15.95" customHeight="1">
      <c r="A158" s="21" t="s">
        <v>166</v>
      </c>
      <c r="B158" s="46">
        <f t="shared" ref="B158:C158" si="88">B157</f>
        <v>201219.64718355512</v>
      </c>
      <c r="C158" s="47">
        <f t="shared" si="88"/>
        <v>680.12240748041654</v>
      </c>
      <c r="D158" s="47">
        <f t="shared" si="44"/>
        <v>70464.84871852443</v>
      </c>
      <c r="E158" s="47">
        <f t="shared" si="45"/>
        <v>50304.91179588878</v>
      </c>
      <c r="F158" s="47">
        <f t="shared" si="46"/>
        <v>-20159.93692263565</v>
      </c>
      <c r="G158" s="48">
        <f t="shared" si="47"/>
        <v>-0.28609920108060666</v>
      </c>
      <c r="H158" s="53">
        <f t="shared" si="70"/>
        <v>151236.68682316004</v>
      </c>
      <c r="I158" s="54">
        <f t="shared" si="33"/>
        <v>37809.17170579001</v>
      </c>
      <c r="J158" s="54">
        <f t="shared" si="34"/>
        <v>-32655.677012734421</v>
      </c>
      <c r="K158" s="48">
        <f t="shared" si="35"/>
        <v>-0.46343215953218392</v>
      </c>
      <c r="L158" s="46">
        <f t="shared" si="72"/>
        <v>169974.30153368006</v>
      </c>
      <c r="M158" s="46">
        <f>$L158-SUM($C$12:$C158)</f>
        <v>99509.45281515563</v>
      </c>
      <c r="N158" s="64">
        <f t="shared" si="74"/>
        <v>0.58543822164457038</v>
      </c>
    </row>
    <row r="159" spans="1:14" ht="15.95" customHeight="1">
      <c r="A159" s="21" t="s">
        <v>167</v>
      </c>
      <c r="B159" s="46">
        <f t="shared" ref="B159:C159" si="89">B158</f>
        <v>201219.64718355512</v>
      </c>
      <c r="C159" s="47">
        <f t="shared" si="89"/>
        <v>680.12240748041654</v>
      </c>
      <c r="D159" s="47">
        <f t="shared" si="44"/>
        <v>71144.97112600485</v>
      </c>
      <c r="E159" s="47">
        <f t="shared" si="45"/>
        <v>50304.91179588878</v>
      </c>
      <c r="F159" s="47">
        <f t="shared" si="46"/>
        <v>-20840.05933011607</v>
      </c>
      <c r="G159" s="48">
        <f t="shared" si="47"/>
        <v>-0.29292385674324389</v>
      </c>
      <c r="H159" s="53">
        <f t="shared" si="70"/>
        <v>151236.68682316004</v>
      </c>
      <c r="I159" s="54">
        <f t="shared" si="33"/>
        <v>37809.17170579001</v>
      </c>
      <c r="J159" s="54">
        <f t="shared" si="34"/>
        <v>-33335.79942021484</v>
      </c>
      <c r="K159" s="48">
        <f t="shared" si="35"/>
        <v>-0.46856157072822208</v>
      </c>
      <c r="L159" s="46">
        <f t="shared" si="72"/>
        <v>172665.78650930902</v>
      </c>
      <c r="M159" s="46">
        <f>$L159-SUM($C$12:$C159)</f>
        <v>101520.81538330417</v>
      </c>
      <c r="N159" s="64">
        <f t="shared" si="74"/>
        <v>0.5879613873465942</v>
      </c>
    </row>
    <row r="160" spans="1:14" ht="15.95" customHeight="1">
      <c r="A160" s="21" t="s">
        <v>168</v>
      </c>
      <c r="B160" s="46">
        <f t="shared" ref="B160:C160" si="90">B159</f>
        <v>201219.64718355512</v>
      </c>
      <c r="C160" s="47">
        <f t="shared" si="90"/>
        <v>680.12240748041654</v>
      </c>
      <c r="D160" s="47">
        <f t="shared" si="44"/>
        <v>71825.093533485269</v>
      </c>
      <c r="E160" s="47">
        <f t="shared" si="45"/>
        <v>50304.91179588878</v>
      </c>
      <c r="F160" s="47">
        <f t="shared" si="46"/>
        <v>-21520.181737596489</v>
      </c>
      <c r="G160" s="48">
        <f t="shared" si="47"/>
        <v>-0.2996192650631726</v>
      </c>
      <c r="H160" s="53">
        <f t="shared" si="70"/>
        <v>151236.68682316004</v>
      </c>
      <c r="I160" s="54">
        <f t="shared" si="33"/>
        <v>37809.17170579001</v>
      </c>
      <c r="J160" s="54">
        <f t="shared" si="34"/>
        <v>-34015.92182769526</v>
      </c>
      <c r="K160" s="48">
        <f t="shared" si="35"/>
        <v>-0.47359383962148049</v>
      </c>
      <c r="L160" s="46">
        <f t="shared" si="72"/>
        <v>175389.12072381625</v>
      </c>
      <c r="M160" s="46">
        <f>$L160-SUM($C$12:$C160)</f>
        <v>103564.02719033098</v>
      </c>
      <c r="N160" s="64">
        <f t="shared" si="74"/>
        <v>0.59048147777314175</v>
      </c>
    </row>
    <row r="161" spans="1:14" ht="15.95" customHeight="1">
      <c r="A161" s="21" t="s">
        <v>169</v>
      </c>
      <c r="B161" s="46">
        <f t="shared" ref="B161:C161" si="91">B160</f>
        <v>201219.64718355512</v>
      </c>
      <c r="C161" s="47">
        <f t="shared" si="91"/>
        <v>680.12240748041654</v>
      </c>
      <c r="D161" s="47">
        <f t="shared" si="44"/>
        <v>72505.215940965689</v>
      </c>
      <c r="E161" s="47">
        <f t="shared" si="45"/>
        <v>50304.91179588878</v>
      </c>
      <c r="F161" s="47">
        <f t="shared" si="46"/>
        <v>-22200.304145076909</v>
      </c>
      <c r="G161" s="48">
        <f t="shared" si="47"/>
        <v>-0.30618906318619299</v>
      </c>
      <c r="H161" s="53">
        <f t="shared" si="70"/>
        <v>151236.68682316004</v>
      </c>
      <c r="I161" s="54">
        <f t="shared" si="33"/>
        <v>37809.17170579001</v>
      </c>
      <c r="J161" s="54">
        <f t="shared" si="34"/>
        <v>-34696.044235175679</v>
      </c>
      <c r="K161" s="48">
        <f t="shared" si="35"/>
        <v>-0.47853169989074262</v>
      </c>
      <c r="L161" s="46">
        <f t="shared" si="72"/>
        <v>178144.68105986182</v>
      </c>
      <c r="M161" s="46">
        <f>$L161-SUM($C$12:$C161)</f>
        <v>105639.46511889613</v>
      </c>
      <c r="N161" s="64">
        <f t="shared" si="74"/>
        <v>0.59299814336526935</v>
      </c>
    </row>
    <row r="162" spans="1:14" ht="15.95" customHeight="1">
      <c r="A162" s="21" t="s">
        <v>170</v>
      </c>
      <c r="B162" s="46">
        <f t="shared" ref="B162:C162" si="92">B161</f>
        <v>201219.64718355512</v>
      </c>
      <c r="C162" s="47">
        <f t="shared" si="92"/>
        <v>680.12240748041654</v>
      </c>
      <c r="D162" s="47">
        <f t="shared" si="44"/>
        <v>73185.338348446108</v>
      </c>
      <c r="E162" s="47">
        <f t="shared" si="45"/>
        <v>50304.91179588878</v>
      </c>
      <c r="F162" s="47">
        <f t="shared" si="46"/>
        <v>-22880.426552557328</v>
      </c>
      <c r="G162" s="48">
        <f t="shared" si="47"/>
        <v>-0.31263675305592314</v>
      </c>
      <c r="H162" s="53">
        <f t="shared" si="70"/>
        <v>151236.68682316004</v>
      </c>
      <c r="I162" s="54">
        <f t="shared" si="33"/>
        <v>37809.17170579001</v>
      </c>
      <c r="J162" s="54">
        <f t="shared" si="34"/>
        <v>-35376.166642656099</v>
      </c>
      <c r="K162" s="48">
        <f t="shared" si="35"/>
        <v>-0.48337778359683181</v>
      </c>
      <c r="L162" s="46">
        <f t="shared" si="72"/>
        <v>180932.84885988393</v>
      </c>
      <c r="M162" s="46">
        <f>$L162-SUM($C$12:$C162)</f>
        <v>107747.51051143782</v>
      </c>
      <c r="N162" s="64">
        <f t="shared" si="74"/>
        <v>0.59551104838280911</v>
      </c>
    </row>
    <row r="163" spans="1:14" ht="15.95" customHeight="1">
      <c r="A163" s="21" t="s">
        <v>171</v>
      </c>
      <c r="B163" s="46">
        <f t="shared" ref="B163:C163" si="93">B162</f>
        <v>201219.64718355512</v>
      </c>
      <c r="C163" s="47">
        <f t="shared" si="93"/>
        <v>680.12240748041654</v>
      </c>
      <c r="D163" s="47">
        <f t="shared" si="44"/>
        <v>73865.460755926528</v>
      </c>
      <c r="E163" s="47">
        <f t="shared" si="45"/>
        <v>50304.91179588878</v>
      </c>
      <c r="F163" s="47">
        <f t="shared" si="46"/>
        <v>-23560.548960037748</v>
      </c>
      <c r="G163" s="48">
        <f t="shared" si="47"/>
        <v>-0.3189657076382264</v>
      </c>
      <c r="H163" s="53">
        <f t="shared" si="70"/>
        <v>151236.68682316004</v>
      </c>
      <c r="I163" s="54">
        <f t="shared" si="33"/>
        <v>37809.17170579001</v>
      </c>
      <c r="J163" s="54">
        <f t="shared" si="34"/>
        <v>-36056.289050136518</v>
      </c>
      <c r="K163" s="48">
        <f t="shared" si="35"/>
        <v>-0.48813462586089096</v>
      </c>
      <c r="L163" s="46">
        <f t="shared" si="72"/>
        <v>183754.00997887296</v>
      </c>
      <c r="M163" s="46">
        <f>$L163-SUM($C$12:$C163)</f>
        <v>109888.54922294643</v>
      </c>
      <c r="N163" s="64">
        <f t="shared" si="74"/>
        <v>0.59801987034503801</v>
      </c>
    </row>
    <row r="164" spans="1:14" ht="15.95" customHeight="1">
      <c r="A164" s="21" t="s">
        <v>172</v>
      </c>
      <c r="B164" s="46">
        <f t="shared" ref="B164:C164" si="94">B163</f>
        <v>201219.64718355512</v>
      </c>
      <c r="C164" s="47">
        <f t="shared" si="94"/>
        <v>680.12240748041654</v>
      </c>
      <c r="D164" s="47">
        <f t="shared" si="44"/>
        <v>74545.583163406947</v>
      </c>
      <c r="E164" s="47">
        <f t="shared" si="45"/>
        <v>50304.91179588878</v>
      </c>
      <c r="F164" s="47">
        <f t="shared" si="46"/>
        <v>-24240.671367518167</v>
      </c>
      <c r="G164" s="48">
        <f t="shared" si="47"/>
        <v>-0.32517917680490377</v>
      </c>
      <c r="H164" s="53">
        <f t="shared" si="70"/>
        <v>151236.68682316004</v>
      </c>
      <c r="I164" s="54">
        <f t="shared" si="33"/>
        <v>37809.17170579001</v>
      </c>
      <c r="J164" s="54">
        <f t="shared" si="34"/>
        <v>-36736.411457616938</v>
      </c>
      <c r="K164" s="48">
        <f t="shared" si="35"/>
        <v>-0.49280466928656563</v>
      </c>
      <c r="L164" s="46">
        <f t="shared" si="72"/>
        <v>186608.55483777003</v>
      </c>
      <c r="M164" s="46">
        <f>$L164-SUM($C$12:$C164)</f>
        <v>112062.97167436309</v>
      </c>
      <c r="N164" s="64">
        <f t="shared" si="74"/>
        <v>0.60052429949841324</v>
      </c>
    </row>
    <row r="165" spans="1:14" ht="15.95" customHeight="1">
      <c r="A165" s="21" t="s">
        <v>173</v>
      </c>
      <c r="B165" s="46">
        <f t="shared" ref="B165:C165" si="95">B164</f>
        <v>201219.64718355512</v>
      </c>
      <c r="C165" s="47">
        <f t="shared" si="95"/>
        <v>680.12240748041654</v>
      </c>
      <c r="D165" s="47">
        <f t="shared" si="44"/>
        <v>75225.705570887367</v>
      </c>
      <c r="E165" s="47">
        <f t="shared" si="45"/>
        <v>50304.91179588878</v>
      </c>
      <c r="F165" s="47">
        <f t="shared" si="46"/>
        <v>-24920.793774998587</v>
      </c>
      <c r="G165" s="48">
        <f t="shared" si="47"/>
        <v>-0.33128029289821681</v>
      </c>
      <c r="H165" s="53">
        <f t="shared" si="70"/>
        <v>151236.68682316004</v>
      </c>
      <c r="I165" s="54">
        <f t="shared" si="33"/>
        <v>37809.17170579001</v>
      </c>
      <c r="J165" s="54">
        <f t="shared" si="34"/>
        <v>-37416.533865097357</v>
      </c>
      <c r="K165" s="48">
        <f t="shared" si="35"/>
        <v>-0.4973902681422997</v>
      </c>
      <c r="L165" s="46">
        <f t="shared" si="72"/>
        <v>189496.87847749738</v>
      </c>
      <c r="M165" s="46">
        <f>$L165-SUM($C$12:$C165)</f>
        <v>114271.17290661001</v>
      </c>
      <c r="N165" s="64">
        <f t="shared" si="74"/>
        <v>0.60302403830984286</v>
      </c>
    </row>
    <row r="166" spans="1:14" ht="15.95" customHeight="1">
      <c r="A166" s="21" t="s">
        <v>174</v>
      </c>
      <c r="B166" s="46">
        <f t="shared" ref="B166:C166" si="96">B165</f>
        <v>201219.64718355512</v>
      </c>
      <c r="C166" s="47">
        <f t="shared" si="96"/>
        <v>680.12240748041654</v>
      </c>
      <c r="D166" s="47">
        <f t="shared" si="44"/>
        <v>75905.827978367786</v>
      </c>
      <c r="E166" s="47">
        <f t="shared" si="45"/>
        <v>50304.91179588878</v>
      </c>
      <c r="F166" s="47">
        <f t="shared" si="46"/>
        <v>-25600.916182479006</v>
      </c>
      <c r="G166" s="48">
        <f t="shared" si="47"/>
        <v>-0.3372720759962588</v>
      </c>
      <c r="H166" s="53">
        <f t="shared" si="70"/>
        <v>151236.68682316004</v>
      </c>
      <c r="I166" s="54">
        <f t="shared" si="33"/>
        <v>37809.17170579001</v>
      </c>
      <c r="J166" s="54">
        <f t="shared" si="34"/>
        <v>-38096.656272577777</v>
      </c>
      <c r="K166" s="48">
        <f t="shared" si="35"/>
        <v>-0.50189369231878811</v>
      </c>
      <c r="L166" s="46">
        <f t="shared" si="72"/>
        <v>192419.38061362816</v>
      </c>
      <c r="M166" s="46">
        <f>$L166-SUM($C$12:$C166)</f>
        <v>116513.55263526038</v>
      </c>
      <c r="N166" s="64">
        <f t="shared" si="74"/>
        <v>0.60551880098406397</v>
      </c>
    </row>
    <row r="167" spans="1:14" ht="15.95" customHeight="1">
      <c r="A167" s="17" t="s">
        <v>175</v>
      </c>
      <c r="B167" s="40">
        <f t="shared" ref="B167:C167" si="97">B166</f>
        <v>201219.64718355512</v>
      </c>
      <c r="C167" s="15">
        <f t="shared" si="97"/>
        <v>680.12240748041654</v>
      </c>
      <c r="D167" s="15">
        <f t="shared" si="44"/>
        <v>76585.950385848206</v>
      </c>
      <c r="E167" s="15">
        <f t="shared" si="45"/>
        <v>50304.91179588878</v>
      </c>
      <c r="F167" s="15">
        <f t="shared" si="46"/>
        <v>-26281.038589959426</v>
      </c>
      <c r="G167" s="16">
        <f t="shared" si="47"/>
        <v>-0.34315743889777101</v>
      </c>
      <c r="H167" s="37">
        <f t="shared" si="70"/>
        <v>151236.68682316004</v>
      </c>
      <c r="I167" s="23">
        <f t="shared" si="33"/>
        <v>37809.17170579001</v>
      </c>
      <c r="J167" s="23">
        <f t="shared" si="34"/>
        <v>-38776.778680058196</v>
      </c>
      <c r="K167" s="24">
        <f t="shared" si="35"/>
        <v>-0.50631713107556464</v>
      </c>
      <c r="L167" s="58">
        <f t="shared" si="72"/>
        <v>195376.46569170317</v>
      </c>
      <c r="M167" s="58">
        <f>$L167-SUM($C$12:$C167)</f>
        <v>118790.51530585496</v>
      </c>
      <c r="N167" s="63">
        <f t="shared" si="74"/>
        <v>0.60800831300378833</v>
      </c>
    </row>
    <row r="168" spans="1:14" ht="15.95" customHeight="1">
      <c r="A168" s="21" t="s">
        <v>176</v>
      </c>
      <c r="B168" s="39">
        <f>B167*(1+$F$8)</f>
        <v>213292.82601456845</v>
      </c>
      <c r="C168" s="11">
        <f>C167*(1+$F$8)</f>
        <v>720.92975192924155</v>
      </c>
      <c r="D168" s="47">
        <f t="shared" si="44"/>
        <v>77306.880137777451</v>
      </c>
      <c r="E168" s="47">
        <f t="shared" si="45"/>
        <v>53323.206503642112</v>
      </c>
      <c r="F168" s="47">
        <f t="shared" si="46"/>
        <v>-23983.673634135339</v>
      </c>
      <c r="G168" s="48">
        <f t="shared" si="47"/>
        <v>-0.31023983365246777</v>
      </c>
      <c r="H168" s="53">
        <f t="shared" si="70"/>
        <v>160310.88803254964</v>
      </c>
      <c r="I168" s="54">
        <f t="shared" si="33"/>
        <v>40077.722008137411</v>
      </c>
      <c r="J168" s="54">
        <f t="shared" si="34"/>
        <v>-37229.15812964004</v>
      </c>
      <c r="K168" s="48">
        <f t="shared" si="35"/>
        <v>-0.48157625897319478</v>
      </c>
      <c r="L168" s="39">
        <f t="shared" si="72"/>
        <v>198409.35028765092</v>
      </c>
      <c r="M168" s="39">
        <f>$L168-SUM($C$12:$C168)</f>
        <v>121102.47014987346</v>
      </c>
      <c r="N168" s="62">
        <f t="shared" si="74"/>
        <v>0.61036674921973644</v>
      </c>
    </row>
    <row r="169" spans="1:14" ht="15.95" customHeight="1">
      <c r="A169" s="21" t="s">
        <v>177</v>
      </c>
      <c r="B169" s="46">
        <f t="shared" ref="B169:C169" si="98">B168</f>
        <v>213292.82601456845</v>
      </c>
      <c r="C169" s="47">
        <f t="shared" si="98"/>
        <v>720.92975192924155</v>
      </c>
      <c r="D169" s="47">
        <f t="shared" si="44"/>
        <v>78027.809889706696</v>
      </c>
      <c r="E169" s="47">
        <f t="shared" si="45"/>
        <v>53323.206503642112</v>
      </c>
      <c r="F169" s="47">
        <f t="shared" si="46"/>
        <v>-24704.603386064584</v>
      </c>
      <c r="G169" s="48">
        <f t="shared" si="47"/>
        <v>-0.31661280024371896</v>
      </c>
      <c r="H169" s="53">
        <f t="shared" si="70"/>
        <v>160310.88803254964</v>
      </c>
      <c r="I169" s="54">
        <f t="shared" si="33"/>
        <v>40077.722008137411</v>
      </c>
      <c r="J169" s="54">
        <f t="shared" si="34"/>
        <v>-37950.087881569285</v>
      </c>
      <c r="K169" s="48">
        <f t="shared" si="35"/>
        <v>-0.48636618066317916</v>
      </c>
      <c r="L169" s="46">
        <f t="shared" si="72"/>
        <v>201478.12401798402</v>
      </c>
      <c r="M169" s="46">
        <f>$L169-SUM($C$12:$C169)</f>
        <v>123450.31412827733</v>
      </c>
      <c r="N169" s="64">
        <f t="shared" si="74"/>
        <v>0.61272316649751069</v>
      </c>
    </row>
    <row r="170" spans="1:14" ht="15.95" customHeight="1">
      <c r="A170" s="21" t="s">
        <v>178</v>
      </c>
      <c r="B170" s="46">
        <f t="shared" ref="B170:C170" si="99">B169</f>
        <v>213292.82601456845</v>
      </c>
      <c r="C170" s="47">
        <f t="shared" si="99"/>
        <v>720.92975192924155</v>
      </c>
      <c r="D170" s="47">
        <f t="shared" si="44"/>
        <v>78748.739641635941</v>
      </c>
      <c r="E170" s="47">
        <f t="shared" si="45"/>
        <v>53323.206503642112</v>
      </c>
      <c r="F170" s="47">
        <f t="shared" si="46"/>
        <v>-25425.533137993829</v>
      </c>
      <c r="G170" s="48">
        <f t="shared" si="47"/>
        <v>-0.32286908023796324</v>
      </c>
      <c r="H170" s="53">
        <f t="shared" si="70"/>
        <v>160310.88803254964</v>
      </c>
      <c r="I170" s="54">
        <f t="shared" si="33"/>
        <v>40077.722008137411</v>
      </c>
      <c r="J170" s="54">
        <f t="shared" si="34"/>
        <v>-38671.01763349853</v>
      </c>
      <c r="K170" s="48">
        <f t="shared" si="35"/>
        <v>-0.49106840070685315</v>
      </c>
      <c r="L170" s="46">
        <f t="shared" si="72"/>
        <v>204583.21157079274</v>
      </c>
      <c r="M170" s="46">
        <f>$L170-SUM($C$12:$C170)</f>
        <v>125834.4719291568</v>
      </c>
      <c r="N170" s="64">
        <f t="shared" si="74"/>
        <v>0.61507721461110121</v>
      </c>
    </row>
    <row r="171" spans="1:14" ht="15.95" customHeight="1">
      <c r="A171" s="21" t="s">
        <v>179</v>
      </c>
      <c r="B171" s="46">
        <f t="shared" ref="B171:C171" si="100">B170</f>
        <v>213292.82601456845</v>
      </c>
      <c r="C171" s="47">
        <f t="shared" si="100"/>
        <v>720.92975192924155</v>
      </c>
      <c r="D171" s="47">
        <f t="shared" si="44"/>
        <v>79469.669393565186</v>
      </c>
      <c r="E171" s="47">
        <f t="shared" si="45"/>
        <v>53323.206503642112</v>
      </c>
      <c r="F171" s="47">
        <f t="shared" si="46"/>
        <v>-26146.462889923074</v>
      </c>
      <c r="G171" s="48">
        <f t="shared" si="47"/>
        <v>-0.32901184929353944</v>
      </c>
      <c r="H171" s="53">
        <f t="shared" si="70"/>
        <v>160310.88803254964</v>
      </c>
      <c r="I171" s="54">
        <f t="shared" si="33"/>
        <v>40077.722008137411</v>
      </c>
      <c r="J171" s="54">
        <f t="shared" si="34"/>
        <v>-39391.947385427775</v>
      </c>
      <c r="K171" s="48">
        <f t="shared" si="35"/>
        <v>-0.49568530592902427</v>
      </c>
      <c r="L171" s="46">
        <f t="shared" si="72"/>
        <v>207725.04265964305</v>
      </c>
      <c r="M171" s="46">
        <f>$L171-SUM($C$12:$C171)</f>
        <v>128255.37326607786</v>
      </c>
      <c r="N171" s="64">
        <f t="shared" si="74"/>
        <v>0.61742855663399221</v>
      </c>
    </row>
    <row r="172" spans="1:14" ht="15.95" customHeight="1">
      <c r="A172" s="21" t="s">
        <v>180</v>
      </c>
      <c r="B172" s="46">
        <f t="shared" ref="B172:C172" si="101">B171</f>
        <v>213292.82601456845</v>
      </c>
      <c r="C172" s="47">
        <f t="shared" si="101"/>
        <v>720.92975192924155</v>
      </c>
      <c r="D172" s="47">
        <f t="shared" si="44"/>
        <v>80190.599145494431</v>
      </c>
      <c r="E172" s="47">
        <f t="shared" si="45"/>
        <v>53323.206503642112</v>
      </c>
      <c r="F172" s="47">
        <f t="shared" si="46"/>
        <v>-26867.392641852319</v>
      </c>
      <c r="G172" s="48">
        <f t="shared" si="47"/>
        <v>-0.33504416886953614</v>
      </c>
      <c r="H172" s="53">
        <f t="shared" si="70"/>
        <v>160310.88803254964</v>
      </c>
      <c r="I172" s="54">
        <f t="shared" ref="I172:I231" si="102">H172*$G$8</f>
        <v>40077.722008137411</v>
      </c>
      <c r="J172" s="54">
        <f t="shared" ref="J172:J231" si="103">I172-D172</f>
        <v>-40112.87713735702</v>
      </c>
      <c r="K172" s="48">
        <f t="shared" ref="K172:K231" si="104">J172/D172</f>
        <v>-0.50021919732234343</v>
      </c>
      <c r="L172" s="46">
        <f t="shared" si="72"/>
        <v>210904.05208304475</v>
      </c>
      <c r="M172" s="46">
        <f>$L172-SUM($C$12:$C172)</f>
        <v>130713.45293755032</v>
      </c>
      <c r="N172" s="64">
        <f t="shared" si="74"/>
        <v>0.6197768684220496</v>
      </c>
    </row>
    <row r="173" spans="1:14" ht="15.95" customHeight="1">
      <c r="A173" s="21" t="s">
        <v>181</v>
      </c>
      <c r="B173" s="46">
        <f t="shared" ref="B173:C173" si="105">B172</f>
        <v>213292.82601456845</v>
      </c>
      <c r="C173" s="47">
        <f t="shared" si="105"/>
        <v>720.92975192924155</v>
      </c>
      <c r="D173" s="47">
        <f t="shared" si="44"/>
        <v>80911.528897423676</v>
      </c>
      <c r="E173" s="47">
        <f t="shared" si="45"/>
        <v>53323.206503642112</v>
      </c>
      <c r="F173" s="47">
        <f t="shared" si="46"/>
        <v>-27588.322393781564</v>
      </c>
      <c r="G173" s="48">
        <f t="shared" si="47"/>
        <v>-0.34096899131342467</v>
      </c>
      <c r="H173" s="53">
        <f t="shared" si="70"/>
        <v>160310.88803254964</v>
      </c>
      <c r="I173" s="54">
        <f t="shared" si="102"/>
        <v>40077.722008137411</v>
      </c>
      <c r="J173" s="54">
        <f t="shared" si="103"/>
        <v>-40833.806889286265</v>
      </c>
      <c r="K173" s="48">
        <f t="shared" si="104"/>
        <v>-0.50467229387116996</v>
      </c>
      <c r="L173" s="46">
        <f t="shared" si="72"/>
        <v>214120.67978462335</v>
      </c>
      <c r="M173" s="46">
        <f>$L173-SUM($C$12:$C173)</f>
        <v>133209.15088719968</v>
      </c>
      <c r="N173" s="64">
        <f t="shared" si="74"/>
        <v>0.62212183812040101</v>
      </c>
    </row>
    <row r="174" spans="1:14" ht="15.95" customHeight="1">
      <c r="A174" s="21" t="s">
        <v>182</v>
      </c>
      <c r="B174" s="46">
        <f t="shared" ref="B174:C174" si="106">B173</f>
        <v>213292.82601456845</v>
      </c>
      <c r="C174" s="47">
        <f t="shared" si="106"/>
        <v>720.92975192924155</v>
      </c>
      <c r="D174" s="47">
        <f t="shared" si="44"/>
        <v>81632.45864935292</v>
      </c>
      <c r="E174" s="47">
        <f t="shared" si="45"/>
        <v>53323.206503642112</v>
      </c>
      <c r="F174" s="47">
        <f t="shared" si="46"/>
        <v>-28309.252145710809</v>
      </c>
      <c r="G174" s="48">
        <f t="shared" si="47"/>
        <v>-0.34678916467910659</v>
      </c>
      <c r="H174" s="53">
        <f t="shared" si="70"/>
        <v>160310.88803254964</v>
      </c>
      <c r="I174" s="54">
        <f t="shared" si="102"/>
        <v>40077.722008137411</v>
      </c>
      <c r="J174" s="54">
        <f t="shared" si="103"/>
        <v>-41554.73664121551</v>
      </c>
      <c r="K174" s="48">
        <f t="shared" si="104"/>
        <v>-0.50904673617281648</v>
      </c>
      <c r="L174" s="46">
        <f t="shared" si="72"/>
        <v>217375.37091400399</v>
      </c>
      <c r="M174" s="46">
        <f>$L174-SUM($C$12:$C174)</f>
        <v>135742.91226465107</v>
      </c>
      <c r="N174" s="64">
        <f t="shared" si="74"/>
        <v>0.62446316569300953</v>
      </c>
    </row>
    <row r="175" spans="1:14" ht="15.95" customHeight="1">
      <c r="A175" s="21" t="s">
        <v>183</v>
      </c>
      <c r="B175" s="46">
        <f t="shared" ref="B175:C175" si="107">B174</f>
        <v>213292.82601456845</v>
      </c>
      <c r="C175" s="47">
        <f t="shared" si="107"/>
        <v>720.92975192924155</v>
      </c>
      <c r="D175" s="47">
        <f t="shared" si="44"/>
        <v>82353.388401282165</v>
      </c>
      <c r="E175" s="47">
        <f t="shared" si="45"/>
        <v>53323.206503642112</v>
      </c>
      <c r="F175" s="47">
        <f t="shared" si="46"/>
        <v>-29030.181897640054</v>
      </c>
      <c r="G175" s="48">
        <f t="shared" si="47"/>
        <v>-0.3525074372918951</v>
      </c>
      <c r="H175" s="53">
        <f t="shared" si="70"/>
        <v>160310.88803254964</v>
      </c>
      <c r="I175" s="54">
        <f t="shared" si="102"/>
        <v>40077.722008137411</v>
      </c>
      <c r="J175" s="54">
        <f t="shared" si="103"/>
        <v>-42275.666393144755</v>
      </c>
      <c r="K175" s="48">
        <f t="shared" si="104"/>
        <v>-0.51334458986858833</v>
      </c>
      <c r="L175" s="46">
        <f t="shared" si="72"/>
        <v>220668.57588841562</v>
      </c>
      <c r="M175" s="46">
        <f>$L175-SUM($C$12:$C175)</f>
        <v>138315.18748713346</v>
      </c>
      <c r="N175" s="64">
        <f t="shared" si="74"/>
        <v>0.62680056247371896</v>
      </c>
    </row>
    <row r="176" spans="1:14" ht="15.95" customHeight="1">
      <c r="A176" s="21" t="s">
        <v>184</v>
      </c>
      <c r="B176" s="46">
        <f t="shared" ref="B176:C176" si="108">B175</f>
        <v>213292.82601456845</v>
      </c>
      <c r="C176" s="47">
        <f t="shared" si="108"/>
        <v>720.92975192924155</v>
      </c>
      <c r="D176" s="47">
        <f t="shared" si="44"/>
        <v>83074.31815321141</v>
      </c>
      <c r="E176" s="47">
        <f t="shared" si="45"/>
        <v>53323.206503642112</v>
      </c>
      <c r="F176" s="47">
        <f t="shared" si="46"/>
        <v>-29751.111649569299</v>
      </c>
      <c r="G176" s="48">
        <f t="shared" si="47"/>
        <v>-0.35812646207580345</v>
      </c>
      <c r="H176" s="53">
        <f t="shared" si="70"/>
        <v>160310.88803254964</v>
      </c>
      <c r="I176" s="54">
        <f t="shared" si="102"/>
        <v>40077.722008137411</v>
      </c>
      <c r="J176" s="54">
        <f t="shared" si="103"/>
        <v>-42996.596145074</v>
      </c>
      <c r="K176" s="48">
        <f t="shared" si="104"/>
        <v>-0.51756784889617391</v>
      </c>
      <c r="L176" s="46">
        <f t="shared" si="72"/>
        <v>224000.75045502445</v>
      </c>
      <c r="M176" s="46">
        <f>$L176-SUM($C$12:$C176)</f>
        <v>140926.43230181304</v>
      </c>
      <c r="N176" s="64">
        <f t="shared" si="74"/>
        <v>0.62913375073762834</v>
      </c>
    </row>
    <row r="177" spans="1:14" ht="15.95" customHeight="1">
      <c r="A177" s="21" t="s">
        <v>185</v>
      </c>
      <c r="B177" s="46">
        <f t="shared" ref="B177:C177" si="109">B176</f>
        <v>213292.82601456845</v>
      </c>
      <c r="C177" s="47">
        <f t="shared" si="109"/>
        <v>720.92975192924155</v>
      </c>
      <c r="D177" s="47">
        <f t="shared" si="44"/>
        <v>83795.247905140655</v>
      </c>
      <c r="E177" s="47">
        <f t="shared" si="45"/>
        <v>53323.206503642112</v>
      </c>
      <c r="F177" s="47">
        <f t="shared" si="46"/>
        <v>-30472.041401498544</v>
      </c>
      <c r="G177" s="48">
        <f t="shared" si="47"/>
        <v>-0.36364880065745531</v>
      </c>
      <c r="H177" s="53">
        <f t="shared" si="70"/>
        <v>160310.88803254964</v>
      </c>
      <c r="I177" s="54">
        <f t="shared" si="102"/>
        <v>40077.722008137411</v>
      </c>
      <c r="J177" s="54">
        <f t="shared" si="103"/>
        <v>-43717.525897003245</v>
      </c>
      <c r="K177" s="48">
        <f t="shared" si="104"/>
        <v>-0.52171843857414346</v>
      </c>
      <c r="L177" s="46">
        <f t="shared" si="72"/>
        <v>227372.35575400482</v>
      </c>
      <c r="M177" s="46">
        <f>$L177-SUM($C$12:$C177)</f>
        <v>143577.10784886417</v>
      </c>
      <c r="N177" s="64">
        <f t="shared" si="74"/>
        <v>0.63146246329171563</v>
      </c>
    </row>
    <row r="178" spans="1:14" ht="15.95" customHeight="1">
      <c r="A178" s="21" t="s">
        <v>186</v>
      </c>
      <c r="B178" s="46">
        <f t="shared" ref="B178:C178" si="110">B177</f>
        <v>213292.82601456845</v>
      </c>
      <c r="C178" s="47">
        <f t="shared" si="110"/>
        <v>720.92975192924155</v>
      </c>
      <c r="D178" s="47">
        <f t="shared" si="44"/>
        <v>84516.1776570699</v>
      </c>
      <c r="E178" s="47">
        <f t="shared" si="45"/>
        <v>53323.206503642112</v>
      </c>
      <c r="F178" s="47">
        <f t="shared" si="46"/>
        <v>-31192.971153427789</v>
      </c>
      <c r="G178" s="48">
        <f t="shared" si="47"/>
        <v>-0.36907692725995461</v>
      </c>
      <c r="H178" s="53">
        <f t="shared" si="70"/>
        <v>160310.88803254964</v>
      </c>
      <c r="I178" s="54">
        <f t="shared" si="102"/>
        <v>40077.722008137411</v>
      </c>
      <c r="J178" s="54">
        <f t="shared" si="103"/>
        <v>-44438.45564893249</v>
      </c>
      <c r="K178" s="48">
        <f t="shared" si="104"/>
        <v>-0.52579821852858188</v>
      </c>
      <c r="L178" s="46">
        <f t="shared" si="72"/>
        <v>230783.85838235647</v>
      </c>
      <c r="M178" s="46">
        <f>$L178-SUM($C$12:$C178)</f>
        <v>146267.68072528657</v>
      </c>
      <c r="N178" s="64">
        <f t="shared" si="74"/>
        <v>0.63378644308370224</v>
      </c>
    </row>
    <row r="179" spans="1:14" ht="15.95" customHeight="1">
      <c r="A179" s="17" t="s">
        <v>187</v>
      </c>
      <c r="B179" s="40">
        <f t="shared" ref="B179:C179" si="111">B178</f>
        <v>213292.82601456845</v>
      </c>
      <c r="C179" s="15">
        <f t="shared" si="111"/>
        <v>720.92975192924155</v>
      </c>
      <c r="D179" s="15">
        <f t="shared" si="44"/>
        <v>85237.107408999145</v>
      </c>
      <c r="E179" s="15">
        <f t="shared" si="45"/>
        <v>53323.206503642112</v>
      </c>
      <c r="F179" s="15">
        <f t="shared" si="46"/>
        <v>-31913.900905357033</v>
      </c>
      <c r="G179" s="16">
        <f t="shared" si="47"/>
        <v>-0.37441323239915147</v>
      </c>
      <c r="H179" s="37">
        <f t="shared" si="70"/>
        <v>160310.88803254964</v>
      </c>
      <c r="I179" s="23">
        <f t="shared" si="102"/>
        <v>40077.722008137411</v>
      </c>
      <c r="J179" s="23">
        <f t="shared" si="103"/>
        <v>-45159.385400861735</v>
      </c>
      <c r="K179" s="24">
        <f t="shared" si="104"/>
        <v>-0.52980898547120225</v>
      </c>
      <c r="L179" s="58">
        <f t="shared" si="72"/>
        <v>234235.73045847693</v>
      </c>
      <c r="M179" s="58">
        <f>$L179-SUM($C$12:$C179)</f>
        <v>148998.62304947778</v>
      </c>
      <c r="N179" s="63">
        <f t="shared" si="74"/>
        <v>0.63610544282820602</v>
      </c>
    </row>
    <row r="180" spans="1:14" ht="15.95" customHeight="1">
      <c r="A180" s="21" t="s">
        <v>188</v>
      </c>
      <c r="B180" s="39">
        <f>B179*(1+$F$8)</f>
        <v>226090.39557544256</v>
      </c>
      <c r="C180" s="11">
        <f>C179*(1+$F$8)</f>
        <v>764.18553704499607</v>
      </c>
      <c r="D180" s="47">
        <f t="shared" ref="D180:D182" si="112">D179+C180</f>
        <v>86001.292946044137</v>
      </c>
      <c r="E180" s="47">
        <f t="shared" ref="E180:E182" si="113">B180*$G$8</f>
        <v>56522.598893860639</v>
      </c>
      <c r="F180" s="47">
        <f t="shared" ref="F180:F182" si="114">E180-D180</f>
        <v>-29478.694052183499</v>
      </c>
      <c r="G180" s="48">
        <f t="shared" ref="G180:G182" si="115">F180/D180</f>
        <v>-0.34277035893725422</v>
      </c>
      <c r="H180" s="53">
        <f t="shared" si="70"/>
        <v>169929.54131450263</v>
      </c>
      <c r="I180" s="54">
        <f t="shared" si="102"/>
        <v>42482.385328625656</v>
      </c>
      <c r="J180" s="54">
        <f t="shared" si="103"/>
        <v>-43518.907617418481</v>
      </c>
      <c r="K180" s="48">
        <f t="shared" si="104"/>
        <v>-0.50602620177724023</v>
      </c>
      <c r="L180" s="39">
        <f t="shared" si="72"/>
        <v>237771.70547261392</v>
      </c>
      <c r="M180" s="39">
        <f>$L180-SUM($C$12:$C180)</f>
        <v>151770.41252656979</v>
      </c>
      <c r="N180" s="62">
        <f t="shared" si="74"/>
        <v>0.63830308246685141</v>
      </c>
    </row>
    <row r="181" spans="1:14" ht="15.95" customHeight="1">
      <c r="A181" s="21" t="s">
        <v>189</v>
      </c>
      <c r="B181" s="46">
        <f t="shared" ref="B181:C181" si="116">B180</f>
        <v>226090.39557544256</v>
      </c>
      <c r="C181" s="47">
        <f t="shared" si="116"/>
        <v>764.18553704499607</v>
      </c>
      <c r="D181" s="47">
        <f t="shared" si="112"/>
        <v>86765.478483089129</v>
      </c>
      <c r="E181" s="47">
        <f t="shared" si="113"/>
        <v>56522.598893860639</v>
      </c>
      <c r="F181" s="47">
        <f t="shared" si="114"/>
        <v>-30242.879589228491</v>
      </c>
      <c r="G181" s="48">
        <f t="shared" si="115"/>
        <v>-0.3485588982849086</v>
      </c>
      <c r="H181" s="53">
        <f t="shared" si="70"/>
        <v>169929.54131450263</v>
      </c>
      <c r="I181" s="54">
        <f t="shared" si="102"/>
        <v>42482.385328625656</v>
      </c>
      <c r="J181" s="54">
        <f t="shared" si="103"/>
        <v>-44283.093154463473</v>
      </c>
      <c r="K181" s="48">
        <f t="shared" si="104"/>
        <v>-0.51037686795093729</v>
      </c>
      <c r="L181" s="46">
        <f t="shared" si="72"/>
        <v>241349.52285775152</v>
      </c>
      <c r="M181" s="46">
        <f>$L181-SUM($C$12:$C181)</f>
        <v>154584.04437466239</v>
      </c>
      <c r="N181" s="64">
        <f t="shared" si="74"/>
        <v>0.64049865334008704</v>
      </c>
    </row>
    <row r="182" spans="1:14" ht="15.95" customHeight="1">
      <c r="A182" s="21" t="s">
        <v>190</v>
      </c>
      <c r="B182" s="46">
        <f t="shared" ref="B182:C182" si="117">B181</f>
        <v>226090.39557544256</v>
      </c>
      <c r="C182" s="47">
        <f t="shared" si="117"/>
        <v>764.18553704499607</v>
      </c>
      <c r="D182" s="47">
        <f t="shared" si="112"/>
        <v>87529.664020134122</v>
      </c>
      <c r="E182" s="47">
        <f t="shared" si="113"/>
        <v>56522.598893860639</v>
      </c>
      <c r="F182" s="47">
        <f t="shared" si="114"/>
        <v>-31007.065126273483</v>
      </c>
      <c r="G182" s="48">
        <f t="shared" si="115"/>
        <v>-0.35424636291464623</v>
      </c>
      <c r="H182" s="53">
        <f t="shared" si="70"/>
        <v>169929.54131450263</v>
      </c>
      <c r="I182" s="54">
        <f t="shared" si="102"/>
        <v>42482.385328625656</v>
      </c>
      <c r="J182" s="54">
        <f t="shared" si="103"/>
        <v>-45047.278691508465</v>
      </c>
      <c r="K182" s="48">
        <f t="shared" si="104"/>
        <v>-0.51465156636664811</v>
      </c>
      <c r="L182" s="46">
        <f t="shared" si="72"/>
        <v>244969.67774861326</v>
      </c>
      <c r="M182" s="46">
        <f>$L182-SUM($C$12:$C182)</f>
        <v>157440.01372847916</v>
      </c>
      <c r="N182" s="64">
        <f t="shared" si="74"/>
        <v>0.6426918432331179</v>
      </c>
    </row>
    <row r="183" spans="1:14" ht="15.95" customHeight="1">
      <c r="A183" s="21" t="s">
        <v>191</v>
      </c>
      <c r="B183" s="46">
        <f t="shared" ref="B183:C183" si="118">B182</f>
        <v>226090.39557544256</v>
      </c>
      <c r="C183" s="47">
        <f t="shared" si="118"/>
        <v>764.18553704499607</v>
      </c>
      <c r="D183" s="47">
        <f t="shared" ref="D183:D231" si="119">D182+C183</f>
        <v>88293.849557179114</v>
      </c>
      <c r="E183" s="47">
        <f t="shared" ref="E183:E231" si="120">B183*$G$8</f>
        <v>56522.598893860639</v>
      </c>
      <c r="F183" s="47">
        <f t="shared" ref="F183:F231" si="121">E183-D183</f>
        <v>-31771.250663318475</v>
      </c>
      <c r="G183" s="48">
        <f t="shared" ref="G183:G231" si="122">F183/D183</f>
        <v>-0.35983537723931053</v>
      </c>
      <c r="H183" s="53">
        <f t="shared" si="70"/>
        <v>169929.54131450263</v>
      </c>
      <c r="I183" s="54">
        <f t="shared" si="102"/>
        <v>42482.385328625656</v>
      </c>
      <c r="J183" s="54">
        <f t="shared" si="103"/>
        <v>-45811.464228553457</v>
      </c>
      <c r="K183" s="48">
        <f t="shared" si="104"/>
        <v>-0.51885226953306574</v>
      </c>
      <c r="L183" s="46">
        <f t="shared" si="72"/>
        <v>248632.67113901686</v>
      </c>
      <c r="M183" s="46">
        <f>$L183-SUM($C$12:$C183)</f>
        <v>160338.82158183775</v>
      </c>
      <c r="N183" s="64">
        <f t="shared" si="74"/>
        <v>0.64488235133100524</v>
      </c>
    </row>
    <row r="184" spans="1:14" ht="15.95" customHeight="1">
      <c r="A184" s="21" t="s">
        <v>192</v>
      </c>
      <c r="B184" s="46">
        <f t="shared" ref="B184:C184" si="123">B183</f>
        <v>226090.39557544256</v>
      </c>
      <c r="C184" s="47">
        <f t="shared" si="123"/>
        <v>764.18553704499607</v>
      </c>
      <c r="D184" s="47">
        <f t="shared" si="119"/>
        <v>89058.035094224106</v>
      </c>
      <c r="E184" s="47">
        <f t="shared" si="120"/>
        <v>56522.598893860639</v>
      </c>
      <c r="F184" s="47">
        <f t="shared" si="121"/>
        <v>-32535.436200363467</v>
      </c>
      <c r="G184" s="48">
        <f t="shared" si="122"/>
        <v>-0.36532847559392834</v>
      </c>
      <c r="H184" s="53">
        <f t="shared" si="70"/>
        <v>169929.54131450263</v>
      </c>
      <c r="I184" s="54">
        <f t="shared" si="102"/>
        <v>42482.385328625656</v>
      </c>
      <c r="J184" s="54">
        <f t="shared" si="103"/>
        <v>-46575.649765598449</v>
      </c>
      <c r="K184" s="48">
        <f t="shared" si="104"/>
        <v>-0.52298088225639661</v>
      </c>
      <c r="L184" s="46">
        <f t="shared" si="72"/>
        <v>252339.00995120691</v>
      </c>
      <c r="M184" s="46">
        <f>$L184-SUM($C$12:$C184)</f>
        <v>163280.97485698282</v>
      </c>
      <c r="N184" s="64">
        <f t="shared" si="74"/>
        <v>0.64706988780115826</v>
      </c>
    </row>
    <row r="185" spans="1:14" ht="15.95" customHeight="1">
      <c r="A185" s="21" t="s">
        <v>193</v>
      </c>
      <c r="B185" s="46">
        <f t="shared" ref="B185:C185" si="124">B184</f>
        <v>226090.39557544256</v>
      </c>
      <c r="C185" s="47">
        <f t="shared" si="124"/>
        <v>764.18553704499607</v>
      </c>
      <c r="D185" s="47">
        <f t="shared" si="119"/>
        <v>89822.220631269098</v>
      </c>
      <c r="E185" s="47">
        <f t="shared" si="120"/>
        <v>56522.598893860639</v>
      </c>
      <c r="F185" s="47">
        <f t="shared" si="121"/>
        <v>-33299.621737408459</v>
      </c>
      <c r="G185" s="48">
        <f t="shared" si="122"/>
        <v>-0.3707281060675105</v>
      </c>
      <c r="H185" s="53">
        <f t="shared" si="70"/>
        <v>169929.54131450263</v>
      </c>
      <c r="I185" s="54">
        <f t="shared" si="102"/>
        <v>42482.385328625656</v>
      </c>
      <c r="J185" s="54">
        <f t="shared" si="103"/>
        <v>-47339.835302643442</v>
      </c>
      <c r="K185" s="48">
        <f t="shared" si="104"/>
        <v>-0.5270392445203409</v>
      </c>
      <c r="L185" s="46">
        <f t="shared" si="72"/>
        <v>256089.20710600787</v>
      </c>
      <c r="M185" s="46">
        <f>$L185-SUM($C$12:$C185)</f>
        <v>166266.98647473878</v>
      </c>
      <c r="N185" s="64">
        <f t="shared" si="74"/>
        <v>0.64925417339401081</v>
      </c>
    </row>
    <row r="186" spans="1:14" ht="15.95" customHeight="1">
      <c r="A186" s="21" t="s">
        <v>194</v>
      </c>
      <c r="B186" s="46">
        <f t="shared" ref="B186:C186" si="125">B185</f>
        <v>226090.39557544256</v>
      </c>
      <c r="C186" s="47">
        <f t="shared" si="125"/>
        <v>764.18553704499607</v>
      </c>
      <c r="D186" s="47">
        <f t="shared" si="119"/>
        <v>90586.40616831409</v>
      </c>
      <c r="E186" s="47">
        <f t="shared" si="120"/>
        <v>56522.598893860639</v>
      </c>
      <c r="F186" s="47">
        <f t="shared" si="121"/>
        <v>-34063.807274453451</v>
      </c>
      <c r="G186" s="48">
        <f t="shared" si="122"/>
        <v>-0.37603663414090177</v>
      </c>
      <c r="H186" s="53">
        <f t="shared" si="70"/>
        <v>169929.54131450263</v>
      </c>
      <c r="I186" s="54">
        <f t="shared" si="102"/>
        <v>42482.385328625656</v>
      </c>
      <c r="J186" s="54">
        <f t="shared" si="103"/>
        <v>-48104.020839688434</v>
      </c>
      <c r="K186" s="48">
        <f t="shared" si="104"/>
        <v>-0.53102913422030174</v>
      </c>
      <c r="L186" s="46">
        <f t="shared" si="72"/>
        <v>259883.7815938073</v>
      </c>
      <c r="M186" s="46">
        <f>$L186-SUM($C$12:$C186)</f>
        <v>169297.37542549323</v>
      </c>
      <c r="N186" s="64">
        <f t="shared" si="74"/>
        <v>0.65143493906095817</v>
      </c>
    </row>
    <row r="187" spans="1:14" ht="15.95" customHeight="1">
      <c r="A187" s="21" t="s">
        <v>195</v>
      </c>
      <c r="B187" s="46">
        <f t="shared" ref="B187:C187" si="126">B186</f>
        <v>226090.39557544256</v>
      </c>
      <c r="C187" s="47">
        <f t="shared" si="126"/>
        <v>764.18553704499607</v>
      </c>
      <c r="D187" s="47">
        <f t="shared" si="119"/>
        <v>91350.591705359082</v>
      </c>
      <c r="E187" s="47">
        <f t="shared" si="120"/>
        <v>56522.598893860639</v>
      </c>
      <c r="F187" s="47">
        <f t="shared" si="121"/>
        <v>-34827.992811498443</v>
      </c>
      <c r="G187" s="48">
        <f t="shared" si="122"/>
        <v>-0.38125634614203885</v>
      </c>
      <c r="H187" s="53">
        <f t="shared" si="70"/>
        <v>169929.54131450263</v>
      </c>
      <c r="I187" s="54">
        <f t="shared" si="102"/>
        <v>42482.385328625656</v>
      </c>
      <c r="J187" s="54">
        <f t="shared" si="103"/>
        <v>-48868.206376733426</v>
      </c>
      <c r="K187" s="48">
        <f t="shared" si="104"/>
        <v>-0.53495226976035637</v>
      </c>
      <c r="L187" s="46">
        <f t="shared" si="72"/>
        <v>263723.25854637905</v>
      </c>
      <c r="M187" s="46">
        <f>$L187-SUM($C$12:$C187)</f>
        <v>172372.66684101996</v>
      </c>
      <c r="N187" s="64">
        <f t="shared" si="74"/>
        <v>0.65361192558867942</v>
      </c>
    </row>
    <row r="188" spans="1:14" ht="15.95" customHeight="1">
      <c r="A188" s="21" t="s">
        <v>196</v>
      </c>
      <c r="B188" s="46">
        <f t="shared" ref="B188:C188" si="127">B187</f>
        <v>226090.39557544256</v>
      </c>
      <c r="C188" s="47">
        <f t="shared" si="127"/>
        <v>764.18553704499607</v>
      </c>
      <c r="D188" s="47">
        <f t="shared" si="119"/>
        <v>92114.777242404074</v>
      </c>
      <c r="E188" s="47">
        <f t="shared" si="120"/>
        <v>56522.598893860639</v>
      </c>
      <c r="F188" s="47">
        <f t="shared" si="121"/>
        <v>-35592.178348543435</v>
      </c>
      <c r="G188" s="48">
        <f t="shared" si="122"/>
        <v>-0.38638945252921858</v>
      </c>
      <c r="H188" s="53">
        <f t="shared" si="70"/>
        <v>169929.54131450263</v>
      </c>
      <c r="I188" s="54">
        <f t="shared" si="102"/>
        <v>42482.385328625656</v>
      </c>
      <c r="J188" s="54">
        <f t="shared" si="103"/>
        <v>-49632.391913778418</v>
      </c>
      <c r="K188" s="48">
        <f t="shared" si="104"/>
        <v>-0.53881031252096068</v>
      </c>
      <c r="L188" s="46">
        <f t="shared" si="72"/>
        <v>267608.16930955619</v>
      </c>
      <c r="M188" s="46">
        <f>$L188-SUM($C$12:$C188)</f>
        <v>175493.39206715213</v>
      </c>
      <c r="N188" s="64">
        <f t="shared" si="74"/>
        <v>0.65578488324902318</v>
      </c>
    </row>
    <row r="189" spans="1:14" ht="15.95" customHeight="1">
      <c r="A189" s="21" t="s">
        <v>197</v>
      </c>
      <c r="B189" s="46">
        <f t="shared" ref="B189:C189" si="128">B188</f>
        <v>226090.39557544256</v>
      </c>
      <c r="C189" s="47">
        <f t="shared" si="128"/>
        <v>764.18553704499607</v>
      </c>
      <c r="D189" s="47">
        <f t="shared" si="119"/>
        <v>92878.962779449066</v>
      </c>
      <c r="E189" s="47">
        <f t="shared" si="120"/>
        <v>56522.598893860639</v>
      </c>
      <c r="F189" s="47">
        <f t="shared" si="121"/>
        <v>-36356.363885588427</v>
      </c>
      <c r="G189" s="48">
        <f t="shared" si="122"/>
        <v>-0.391438091012283</v>
      </c>
      <c r="H189" s="53">
        <f t="shared" si="70"/>
        <v>169929.54131450263</v>
      </c>
      <c r="I189" s="54">
        <f t="shared" si="102"/>
        <v>42482.385328625656</v>
      </c>
      <c r="J189" s="54">
        <f t="shared" si="103"/>
        <v>-50396.57745082341</v>
      </c>
      <c r="K189" s="48">
        <f t="shared" si="104"/>
        <v>-0.54260486920483186</v>
      </c>
      <c r="L189" s="46">
        <f t="shared" si="72"/>
        <v>271539.05151676427</v>
      </c>
      <c r="M189" s="46">
        <f>$L189-SUM($C$12:$C189)</f>
        <v>178660.08873731521</v>
      </c>
      <c r="N189" s="64">
        <f t="shared" si="74"/>
        <v>0.65795357146367983</v>
      </c>
    </row>
    <row r="190" spans="1:14" ht="15.95" customHeight="1">
      <c r="A190" s="21" t="s">
        <v>198</v>
      </c>
      <c r="B190" s="46">
        <f t="shared" ref="B190:C190" si="129">B189</f>
        <v>226090.39557544256</v>
      </c>
      <c r="C190" s="47">
        <f t="shared" si="129"/>
        <v>764.18553704499607</v>
      </c>
      <c r="D190" s="47">
        <f t="shared" si="119"/>
        <v>93643.148316494058</v>
      </c>
      <c r="E190" s="47">
        <f t="shared" si="120"/>
        <v>56522.598893860639</v>
      </c>
      <c r="F190" s="47">
        <f t="shared" si="121"/>
        <v>-37120.549422633419</v>
      </c>
      <c r="G190" s="48">
        <f t="shared" si="122"/>
        <v>-0.39640432952097898</v>
      </c>
      <c r="H190" s="53">
        <f t="shared" si="70"/>
        <v>169929.54131450263</v>
      </c>
      <c r="I190" s="54">
        <f t="shared" si="102"/>
        <v>42482.385328625656</v>
      </c>
      <c r="J190" s="54">
        <f t="shared" si="103"/>
        <v>-51160.762987868402</v>
      </c>
      <c r="K190" s="48">
        <f t="shared" si="104"/>
        <v>-0.54633749406796783</v>
      </c>
      <c r="L190" s="46">
        <f t="shared" si="72"/>
        <v>275516.44916342432</v>
      </c>
      <c r="M190" s="46">
        <f>$L190-SUM($C$12:$C190)</f>
        <v>181873.30084693024</v>
      </c>
      <c r="N190" s="64">
        <f t="shared" si="74"/>
        <v>0.66011775848290988</v>
      </c>
    </row>
    <row r="191" spans="1:14" ht="15.95" customHeight="1">
      <c r="A191" s="17" t="s">
        <v>199</v>
      </c>
      <c r="B191" s="40">
        <f t="shared" ref="B191:C191" si="130">B190</f>
        <v>226090.39557544256</v>
      </c>
      <c r="C191" s="15">
        <f t="shared" si="130"/>
        <v>764.18553704499607</v>
      </c>
      <c r="D191" s="15">
        <f t="shared" si="119"/>
        <v>94407.33385353905</v>
      </c>
      <c r="E191" s="15">
        <f t="shared" si="120"/>
        <v>56522.598893860639</v>
      </c>
      <c r="F191" s="15">
        <f t="shared" si="121"/>
        <v>-37884.734959678412</v>
      </c>
      <c r="G191" s="16">
        <f t="shared" si="122"/>
        <v>-0.40129016902915349</v>
      </c>
      <c r="H191" s="37">
        <f t="shared" si="70"/>
        <v>169929.54131450263</v>
      </c>
      <c r="I191" s="23">
        <f t="shared" si="102"/>
        <v>42482.385328625656</v>
      </c>
      <c r="J191" s="23">
        <f t="shared" si="103"/>
        <v>-51924.948524913394</v>
      </c>
      <c r="K191" s="24">
        <f t="shared" si="104"/>
        <v>-0.55000969104231179</v>
      </c>
      <c r="L191" s="58">
        <f t="shared" si="72"/>
        <v>279540.91268223652</v>
      </c>
      <c r="M191" s="58">
        <f>$L191-SUM($C$12:$C191)</f>
        <v>185133.57882869747</v>
      </c>
      <c r="N191" s="63">
        <f t="shared" si="74"/>
        <v>0.6622772210776352</v>
      </c>
    </row>
    <row r="192" spans="1:14" ht="15.95" customHeight="1">
      <c r="A192" s="21" t="s">
        <v>200</v>
      </c>
      <c r="B192" s="39">
        <f>B191*(1+$F$8)</f>
        <v>239655.81930996911</v>
      </c>
      <c r="C192" s="11">
        <f>C191*(1+$F$8)</f>
        <v>810.03666926769586</v>
      </c>
      <c r="D192" s="47">
        <f t="shared" si="119"/>
        <v>95217.370522806741</v>
      </c>
      <c r="E192" s="47">
        <f t="shared" si="120"/>
        <v>59913.954827492278</v>
      </c>
      <c r="F192" s="47">
        <f t="shared" si="121"/>
        <v>-35303.415695314463</v>
      </c>
      <c r="G192" s="48">
        <f t="shared" si="122"/>
        <v>-0.3707665471276429</v>
      </c>
      <c r="H192" s="53">
        <f t="shared" si="70"/>
        <v>180125.31379337277</v>
      </c>
      <c r="I192" s="54">
        <f t="shared" si="102"/>
        <v>45031.328448343193</v>
      </c>
      <c r="J192" s="54">
        <f t="shared" si="103"/>
        <v>-50186.042074463548</v>
      </c>
      <c r="K192" s="48">
        <f t="shared" si="104"/>
        <v>-0.5270681368211364</v>
      </c>
      <c r="L192" s="39">
        <f t="shared" si="72"/>
        <v>283658.85015157732</v>
      </c>
      <c r="M192" s="39">
        <f>$L192-SUM($C$12:$C192)</f>
        <v>188441.47962877058</v>
      </c>
      <c r="N192" s="62">
        <f t="shared" si="74"/>
        <v>0.6643243442891843</v>
      </c>
    </row>
    <row r="193" spans="1:14" ht="15.95" customHeight="1">
      <c r="A193" s="21" t="s">
        <v>201</v>
      </c>
      <c r="B193" s="46">
        <f t="shared" ref="B193:C193" si="131">B192</f>
        <v>239655.81930996911</v>
      </c>
      <c r="C193" s="47">
        <f t="shared" si="131"/>
        <v>810.03666926769586</v>
      </c>
      <c r="D193" s="47">
        <f t="shared" si="119"/>
        <v>96027.407192074432</v>
      </c>
      <c r="E193" s="47">
        <f t="shared" si="120"/>
        <v>59913.954827492278</v>
      </c>
      <c r="F193" s="47">
        <f t="shared" si="121"/>
        <v>-36113.452364582154</v>
      </c>
      <c r="G193" s="48">
        <f t="shared" si="122"/>
        <v>-0.376074429379811</v>
      </c>
      <c r="H193" s="53">
        <f t="shared" si="70"/>
        <v>180125.31379337277</v>
      </c>
      <c r="I193" s="54">
        <f t="shared" si="102"/>
        <v>45031.328448343193</v>
      </c>
      <c r="J193" s="54">
        <f t="shared" si="103"/>
        <v>-50996.078743731239</v>
      </c>
      <c r="K193" s="48">
        <f t="shared" si="104"/>
        <v>-0.53105754112186598</v>
      </c>
      <c r="L193" s="46">
        <f t="shared" si="72"/>
        <v>287825.51654763869</v>
      </c>
      <c r="M193" s="46">
        <f>$L193-SUM($C$12:$C193)</f>
        <v>191798.10935556426</v>
      </c>
      <c r="N193" s="64">
        <f t="shared" si="74"/>
        <v>0.66636937425184573</v>
      </c>
    </row>
    <row r="194" spans="1:14" ht="15.95" customHeight="1">
      <c r="A194" s="21" t="s">
        <v>202</v>
      </c>
      <c r="B194" s="46">
        <f t="shared" ref="B194:C194" si="132">B193</f>
        <v>239655.81930996911</v>
      </c>
      <c r="C194" s="47">
        <f t="shared" si="132"/>
        <v>810.03666926769586</v>
      </c>
      <c r="D194" s="47">
        <f t="shared" si="119"/>
        <v>96837.443861342123</v>
      </c>
      <c r="E194" s="47">
        <f t="shared" si="120"/>
        <v>59913.954827492278</v>
      </c>
      <c r="F194" s="47">
        <f t="shared" si="121"/>
        <v>-36923.489033849844</v>
      </c>
      <c r="G194" s="48">
        <f t="shared" si="122"/>
        <v>-0.38129351169904063</v>
      </c>
      <c r="H194" s="53">
        <f t="shared" si="70"/>
        <v>180125.31379337277</v>
      </c>
      <c r="I194" s="54">
        <f t="shared" si="102"/>
        <v>45031.328448343193</v>
      </c>
      <c r="J194" s="54">
        <f t="shared" si="103"/>
        <v>-51806.11541299893</v>
      </c>
      <c r="K194" s="48">
        <f t="shared" si="104"/>
        <v>-0.53498020339299901</v>
      </c>
      <c r="L194" s="46">
        <f t="shared" si="72"/>
        <v>292041.48849605344</v>
      </c>
      <c r="M194" s="46">
        <f>$L194-SUM($C$12:$C194)</f>
        <v>195204.04463471132</v>
      </c>
      <c r="N194" s="64">
        <f t="shared" si="74"/>
        <v>0.66841203159170048</v>
      </c>
    </row>
    <row r="195" spans="1:14" ht="15.95" customHeight="1">
      <c r="A195" s="21" t="s">
        <v>203</v>
      </c>
      <c r="B195" s="46">
        <f t="shared" ref="B195:C195" si="133">B194</f>
        <v>239655.81930996911</v>
      </c>
      <c r="C195" s="47">
        <f t="shared" si="133"/>
        <v>810.03666926769586</v>
      </c>
      <c r="D195" s="47">
        <f t="shared" si="119"/>
        <v>97647.480530609813</v>
      </c>
      <c r="E195" s="47">
        <f t="shared" si="120"/>
        <v>59913.954827492278</v>
      </c>
      <c r="F195" s="47">
        <f t="shared" si="121"/>
        <v>-37733.525703117535</v>
      </c>
      <c r="G195" s="48">
        <f t="shared" si="122"/>
        <v>-0.38642600401030425</v>
      </c>
      <c r="H195" s="53">
        <f t="shared" si="70"/>
        <v>180125.31379337277</v>
      </c>
      <c r="I195" s="54">
        <f t="shared" si="102"/>
        <v>45031.328448343193</v>
      </c>
      <c r="J195" s="54">
        <f t="shared" si="103"/>
        <v>-52616.152082266621</v>
      </c>
      <c r="K195" s="48">
        <f t="shared" si="104"/>
        <v>-0.53883778461414478</v>
      </c>
      <c r="L195" s="46">
        <f t="shared" si="72"/>
        <v>296307.34944585775</v>
      </c>
      <c r="M195" s="46">
        <f>$L195-SUM($C$12:$C195)</f>
        <v>198659.86891524793</v>
      </c>
      <c r="N195" s="64">
        <f t="shared" si="74"/>
        <v>0.67045204679119075</v>
      </c>
    </row>
    <row r="196" spans="1:14" ht="15.95" customHeight="1">
      <c r="A196" s="21" t="s">
        <v>204</v>
      </c>
      <c r="B196" s="46">
        <f t="shared" ref="B196:C196" si="134">B195</f>
        <v>239655.81930996911</v>
      </c>
      <c r="C196" s="47">
        <f t="shared" si="134"/>
        <v>810.03666926769586</v>
      </c>
      <c r="D196" s="47">
        <f t="shared" si="119"/>
        <v>98457.517199877504</v>
      </c>
      <c r="E196" s="47">
        <f t="shared" si="120"/>
        <v>59913.954827492278</v>
      </c>
      <c r="F196" s="47">
        <f t="shared" si="121"/>
        <v>-38543.562372385226</v>
      </c>
      <c r="G196" s="48">
        <f t="shared" si="122"/>
        <v>-0.39147404351196841</v>
      </c>
      <c r="H196" s="53">
        <f t="shared" si="70"/>
        <v>180125.31379337277</v>
      </c>
      <c r="I196" s="54">
        <f t="shared" si="102"/>
        <v>45031.328448343193</v>
      </c>
      <c r="J196" s="54">
        <f t="shared" si="103"/>
        <v>-53426.188751534311</v>
      </c>
      <c r="K196" s="48">
        <f t="shared" si="104"/>
        <v>-0.54263189110359555</v>
      </c>
      <c r="L196" s="46">
        <f t="shared" si="72"/>
        <v>300623.68975023477</v>
      </c>
      <c r="M196" s="46">
        <f>$L196-SUM($C$12:$C196)</f>
        <v>202166.17255035727</v>
      </c>
      <c r="N196" s="64">
        <f t="shared" si="74"/>
        <v>0.67248915984738822</v>
      </c>
    </row>
    <row r="197" spans="1:14" ht="15.95" customHeight="1">
      <c r="A197" s="21" t="s">
        <v>205</v>
      </c>
      <c r="B197" s="46">
        <f t="shared" ref="B197:C197" si="135">B196</f>
        <v>239655.81930996911</v>
      </c>
      <c r="C197" s="47">
        <f t="shared" si="135"/>
        <v>810.03666926769586</v>
      </c>
      <c r="D197" s="47">
        <f t="shared" si="119"/>
        <v>99267.553869145195</v>
      </c>
      <c r="E197" s="47">
        <f t="shared" si="120"/>
        <v>59913.954827492278</v>
      </c>
      <c r="F197" s="47">
        <f t="shared" si="121"/>
        <v>-39353.599041652917</v>
      </c>
      <c r="G197" s="48">
        <f t="shared" si="122"/>
        <v>-0.39643969764308845</v>
      </c>
      <c r="H197" s="53">
        <f t="shared" si="70"/>
        <v>180125.31379337277</v>
      </c>
      <c r="I197" s="54">
        <f t="shared" si="102"/>
        <v>45031.328448343193</v>
      </c>
      <c r="J197" s="54">
        <f t="shared" si="103"/>
        <v>-54236.225420802002</v>
      </c>
      <c r="K197" s="48">
        <f t="shared" si="104"/>
        <v>-0.54636407674854537</v>
      </c>
      <c r="L197" s="46">
        <f t="shared" si="72"/>
        <v>304991.10674821358</v>
      </c>
      <c r="M197" s="46">
        <f>$L197-SUM($C$12:$C197)</f>
        <v>205723.55287906839</v>
      </c>
      <c r="N197" s="64">
        <f t="shared" si="74"/>
        <v>0.67452311994429448</v>
      </c>
    </row>
    <row r="198" spans="1:14" ht="15.95" customHeight="1">
      <c r="A198" s="21" t="s">
        <v>206</v>
      </c>
      <c r="B198" s="46">
        <f t="shared" ref="B198:C198" si="136">B197</f>
        <v>239655.81930996911</v>
      </c>
      <c r="C198" s="47">
        <f t="shared" si="136"/>
        <v>810.03666926769586</v>
      </c>
      <c r="D198" s="47">
        <f t="shared" si="119"/>
        <v>100077.59053841289</v>
      </c>
      <c r="E198" s="47">
        <f t="shared" si="120"/>
        <v>59913.954827492278</v>
      </c>
      <c r="F198" s="47">
        <f t="shared" si="121"/>
        <v>-40163.635710920607</v>
      </c>
      <c r="G198" s="48">
        <f t="shared" si="122"/>
        <v>-0.40132496690659791</v>
      </c>
      <c r="H198" s="53">
        <f t="shared" si="70"/>
        <v>180125.31379337277</v>
      </c>
      <c r="I198" s="54">
        <f t="shared" si="102"/>
        <v>45031.328448343193</v>
      </c>
      <c r="J198" s="54">
        <f t="shared" si="103"/>
        <v>-55046.262090069693</v>
      </c>
      <c r="K198" s="48">
        <f t="shared" si="104"/>
        <v>-0.55003584512699899</v>
      </c>
      <c r="L198" s="46">
        <f t="shared" si="72"/>
        <v>309410.20484733512</v>
      </c>
      <c r="M198" s="46">
        <f>$L198-SUM($C$12:$C198)</f>
        <v>209332.61430892223</v>
      </c>
      <c r="N198" s="64">
        <f t="shared" si="74"/>
        <v>0.67655368513849834</v>
      </c>
    </row>
    <row r="199" spans="1:14" ht="15.95" customHeight="1">
      <c r="A199" s="21" t="s">
        <v>207</v>
      </c>
      <c r="B199" s="46">
        <f t="shared" ref="B199:C199" si="137">B198</f>
        <v>239655.81930996911</v>
      </c>
      <c r="C199" s="47">
        <f t="shared" si="137"/>
        <v>810.03666926769586</v>
      </c>
      <c r="D199" s="47">
        <f t="shared" si="119"/>
        <v>100887.62720768058</v>
      </c>
      <c r="E199" s="47">
        <f t="shared" si="120"/>
        <v>59913.954827492278</v>
      </c>
      <c r="F199" s="47">
        <f t="shared" si="121"/>
        <v>-40973.672380188298</v>
      </c>
      <c r="G199" s="48">
        <f t="shared" si="122"/>
        <v>-0.4061317875564921</v>
      </c>
      <c r="H199" s="53">
        <f t="shared" si="70"/>
        <v>180125.31379337277</v>
      </c>
      <c r="I199" s="54">
        <f t="shared" si="102"/>
        <v>45031.328448343193</v>
      </c>
      <c r="J199" s="54">
        <f t="shared" si="103"/>
        <v>-55856.298759337384</v>
      </c>
      <c r="K199" s="48">
        <f t="shared" si="104"/>
        <v>-0.55364865152745946</v>
      </c>
      <c r="L199" s="46">
        <f t="shared" si="72"/>
        <v>313881.59560729627</v>
      </c>
      <c r="M199" s="46">
        <f>$L199-SUM($C$12:$C199)</f>
        <v>212993.9683996157</v>
      </c>
      <c r="N199" s="64">
        <f t="shared" si="74"/>
        <v>0.67858062205755076</v>
      </c>
    </row>
    <row r="200" spans="1:14" ht="15.95" customHeight="1">
      <c r="A200" s="21" t="s">
        <v>208</v>
      </c>
      <c r="B200" s="46">
        <f t="shared" ref="B200:C200" si="138">B199</f>
        <v>239655.81930996911</v>
      </c>
      <c r="C200" s="47">
        <f t="shared" si="138"/>
        <v>810.03666926769586</v>
      </c>
      <c r="D200" s="47">
        <f t="shared" si="119"/>
        <v>101697.66387694827</v>
      </c>
      <c r="E200" s="47">
        <f t="shared" si="120"/>
        <v>59913.954827492278</v>
      </c>
      <c r="F200" s="47">
        <f t="shared" si="121"/>
        <v>-41783.709049455989</v>
      </c>
      <c r="G200" s="48">
        <f t="shared" si="122"/>
        <v>-0.41086203415658862</v>
      </c>
      <c r="H200" s="53">
        <f t="shared" si="70"/>
        <v>180125.31379337277</v>
      </c>
      <c r="I200" s="54">
        <f t="shared" si="102"/>
        <v>45031.328448343193</v>
      </c>
      <c r="J200" s="54">
        <f t="shared" si="103"/>
        <v>-56666.335428605074</v>
      </c>
      <c r="K200" s="48">
        <f t="shared" si="104"/>
        <v>-0.55720390487209204</v>
      </c>
      <c r="L200" s="46">
        <f t="shared" si="72"/>
        <v>318405.89782458363</v>
      </c>
      <c r="M200" s="46">
        <f>$L200-SUM($C$12:$C200)</f>
        <v>216708.23394763537</v>
      </c>
      <c r="N200" s="64">
        <f t="shared" si="74"/>
        <v>0.68060370561045447</v>
      </c>
    </row>
    <row r="201" spans="1:14" ht="15.95" customHeight="1">
      <c r="A201" s="21" t="s">
        <v>209</v>
      </c>
      <c r="B201" s="46">
        <f t="shared" ref="B201:C201" si="139">B200</f>
        <v>239655.81930996911</v>
      </c>
      <c r="C201" s="47">
        <f t="shared" si="139"/>
        <v>810.03666926769586</v>
      </c>
      <c r="D201" s="47">
        <f t="shared" si="119"/>
        <v>102507.70054621596</v>
      </c>
      <c r="E201" s="47">
        <f t="shared" si="120"/>
        <v>59913.954827492278</v>
      </c>
      <c r="F201" s="47">
        <f t="shared" si="121"/>
        <v>-42593.74571872368</v>
      </c>
      <c r="G201" s="48">
        <f t="shared" si="122"/>
        <v>-0.41551752201796915</v>
      </c>
      <c r="H201" s="53">
        <f t="shared" si="70"/>
        <v>180125.31379337277</v>
      </c>
      <c r="I201" s="54">
        <f t="shared" si="102"/>
        <v>45031.328448343193</v>
      </c>
      <c r="J201" s="54">
        <f t="shared" si="103"/>
        <v>-57476.372097872765</v>
      </c>
      <c r="K201" s="48">
        <f t="shared" si="104"/>
        <v>-0.56070296954870569</v>
      </c>
      <c r="L201" s="46">
        <f t="shared" si="72"/>
        <v>322983.73761810892</v>
      </c>
      <c r="M201" s="46">
        <f>$L201-SUM($C$12:$C201)</f>
        <v>220476.03707189296</v>
      </c>
      <c r="N201" s="64">
        <f t="shared" si="74"/>
        <v>0.68262271870969704</v>
      </c>
    </row>
    <row r="202" spans="1:14" ht="15.95" customHeight="1">
      <c r="A202" s="21" t="s">
        <v>210</v>
      </c>
      <c r="B202" s="46">
        <f t="shared" ref="B202:C202" si="140">B201</f>
        <v>239655.81930996911</v>
      </c>
      <c r="C202" s="47">
        <f t="shared" si="140"/>
        <v>810.03666926769586</v>
      </c>
      <c r="D202" s="47">
        <f t="shared" si="119"/>
        <v>103317.73721548365</v>
      </c>
      <c r="E202" s="47">
        <f t="shared" si="120"/>
        <v>59913.954827492278</v>
      </c>
      <c r="F202" s="47">
        <f t="shared" si="121"/>
        <v>-43403.78238799137</v>
      </c>
      <c r="G202" s="48">
        <f t="shared" si="122"/>
        <v>-0.42010000952175991</v>
      </c>
      <c r="H202" s="53">
        <f t="shared" si="70"/>
        <v>180125.31379337277</v>
      </c>
      <c r="I202" s="54">
        <f t="shared" si="102"/>
        <v>45031.328448343193</v>
      </c>
      <c r="J202" s="54">
        <f t="shared" si="103"/>
        <v>-58286.408767140456</v>
      </c>
      <c r="K202" s="48">
        <f t="shared" si="104"/>
        <v>-0.56414716715655477</v>
      </c>
      <c r="L202" s="46">
        <f t="shared" si="72"/>
        <v>327615.74851585756</v>
      </c>
      <c r="M202" s="46">
        <f>$L202-SUM($C$12:$C202)</f>
        <v>224298.01130037391</v>
      </c>
      <c r="N202" s="64">
        <f t="shared" si="74"/>
        <v>0.68463745200428672</v>
      </c>
    </row>
    <row r="203" spans="1:14" ht="15.95" customHeight="1">
      <c r="A203" s="17" t="s">
        <v>211</v>
      </c>
      <c r="B203" s="40">
        <f t="shared" ref="B203:C203" si="141">B202</f>
        <v>239655.81930996911</v>
      </c>
      <c r="C203" s="15">
        <f t="shared" si="141"/>
        <v>810.03666926769586</v>
      </c>
      <c r="D203" s="15">
        <f t="shared" si="119"/>
        <v>104127.77388475134</v>
      </c>
      <c r="E203" s="15">
        <f t="shared" si="120"/>
        <v>59913.954827492278</v>
      </c>
      <c r="F203" s="15">
        <f t="shared" si="121"/>
        <v>-44213.819057259061</v>
      </c>
      <c r="G203" s="16">
        <f t="shared" si="122"/>
        <v>-0.42461120033349542</v>
      </c>
      <c r="H203" s="37">
        <f t="shared" si="70"/>
        <v>180125.31379337277</v>
      </c>
      <c r="I203" s="23">
        <f t="shared" si="102"/>
        <v>45031.328448343193</v>
      </c>
      <c r="J203" s="23">
        <f t="shared" si="103"/>
        <v>-59096.445436408147</v>
      </c>
      <c r="K203" s="24">
        <f t="shared" si="104"/>
        <v>-0.5675377781706552</v>
      </c>
      <c r="L203" s="58">
        <f t="shared" si="72"/>
        <v>332302.57154256292</v>
      </c>
      <c r="M203" s="58">
        <f>$L203-SUM($C$12:$C203)</f>
        <v>228174.79765781158</v>
      </c>
      <c r="N203" s="63">
        <f t="shared" si="74"/>
        <v>0.68664770362328009</v>
      </c>
    </row>
    <row r="204" spans="1:14" ht="15.95" customHeight="1">
      <c r="A204" s="21" t="s">
        <v>212</v>
      </c>
      <c r="B204" s="39">
        <f>B203*(1+$F$8)</f>
        <v>254035.16846856728</v>
      </c>
      <c r="C204" s="11">
        <f>C203*(1+$F$8)</f>
        <v>858.63886942375768</v>
      </c>
      <c r="D204" s="47">
        <f t="shared" si="119"/>
        <v>104986.41275417509</v>
      </c>
      <c r="E204" s="47">
        <f t="shared" si="120"/>
        <v>63508.79211714182</v>
      </c>
      <c r="F204" s="47">
        <f t="shared" si="121"/>
        <v>-41477.620637033273</v>
      </c>
      <c r="G204" s="48">
        <f t="shared" si="122"/>
        <v>-0.39507608221792295</v>
      </c>
      <c r="H204" s="53">
        <f t="shared" ref="H204:H231" si="142">B204-(((B204*(1+$Q$12))/$E$8)*$Q$14)</f>
        <v>190932.83262097518</v>
      </c>
      <c r="I204" s="54">
        <f t="shared" si="102"/>
        <v>47733.208155243796</v>
      </c>
      <c r="J204" s="54">
        <f t="shared" si="103"/>
        <v>-57253.204598931297</v>
      </c>
      <c r="K204" s="48">
        <f t="shared" si="104"/>
        <v>-0.54533918339499088</v>
      </c>
      <c r="L204" s="39">
        <f t="shared" si="72"/>
        <v>337093.45750857372</v>
      </c>
      <c r="M204" s="39">
        <f>$L204-SUM($C$12:$C204)</f>
        <v>232107.04475439864</v>
      </c>
      <c r="N204" s="62">
        <f t="shared" si="74"/>
        <v>0.68855398876584595</v>
      </c>
    </row>
    <row r="205" spans="1:14" ht="15.95" customHeight="1">
      <c r="A205" s="21" t="s">
        <v>213</v>
      </c>
      <c r="B205" s="46">
        <f t="shared" ref="B205:C205" si="143">B204</f>
        <v>254035.16846856728</v>
      </c>
      <c r="C205" s="47">
        <f t="shared" si="143"/>
        <v>858.63886942375768</v>
      </c>
      <c r="D205" s="47">
        <f t="shared" si="119"/>
        <v>105845.05162359885</v>
      </c>
      <c r="E205" s="47">
        <f t="shared" si="120"/>
        <v>63508.79211714182</v>
      </c>
      <c r="F205" s="47">
        <f t="shared" si="121"/>
        <v>-42336.259506457027</v>
      </c>
      <c r="G205" s="48">
        <f t="shared" si="122"/>
        <v>-0.39998336112122868</v>
      </c>
      <c r="H205" s="53">
        <f t="shared" si="142"/>
        <v>190932.83262097518</v>
      </c>
      <c r="I205" s="54">
        <f t="shared" si="102"/>
        <v>47733.208155243796</v>
      </c>
      <c r="J205" s="54">
        <f t="shared" si="103"/>
        <v>-58111.843468355051</v>
      </c>
      <c r="K205" s="48">
        <f t="shared" si="104"/>
        <v>-0.54902749421871544</v>
      </c>
      <c r="L205" s="46">
        <f t="shared" ref="L205:L231" si="144">(L204*(1+($H$8/12)))+C205</f>
        <v>341941.03562518227</v>
      </c>
      <c r="M205" s="46">
        <f>$L205-SUM($C$12:$C205)</f>
        <v>236095.98400158342</v>
      </c>
      <c r="N205" s="64">
        <f t="shared" si="74"/>
        <v>0.69045817671436016</v>
      </c>
    </row>
    <row r="206" spans="1:14" ht="15.95" customHeight="1">
      <c r="A206" s="21" t="s">
        <v>214</v>
      </c>
      <c r="B206" s="46">
        <f t="shared" ref="B206:C206" si="145">B205</f>
        <v>254035.16846856728</v>
      </c>
      <c r="C206" s="47">
        <f t="shared" si="145"/>
        <v>858.63886942375768</v>
      </c>
      <c r="D206" s="47">
        <f t="shared" si="119"/>
        <v>106703.6904930226</v>
      </c>
      <c r="E206" s="47">
        <f t="shared" si="120"/>
        <v>63508.79211714182</v>
      </c>
      <c r="F206" s="47">
        <f t="shared" si="121"/>
        <v>-43194.898375880781</v>
      </c>
      <c r="G206" s="48">
        <f t="shared" si="122"/>
        <v>-0.40481166280472103</v>
      </c>
      <c r="H206" s="53">
        <f t="shared" si="142"/>
        <v>190932.83262097518</v>
      </c>
      <c r="I206" s="54">
        <f t="shared" si="102"/>
        <v>47733.208155243796</v>
      </c>
      <c r="J206" s="54">
        <f t="shared" si="103"/>
        <v>-58970.482337778805</v>
      </c>
      <c r="K206" s="48">
        <f t="shared" si="104"/>
        <v>-0.55265644576402828</v>
      </c>
      <c r="L206" s="46">
        <f t="shared" si="144"/>
        <v>346845.97674950404</v>
      </c>
      <c r="M206" s="46">
        <f>$L206-SUM($C$12:$C206)</f>
        <v>240142.28625648143</v>
      </c>
      <c r="N206" s="64">
        <f t="shared" ref="N206:N231" si="146">M206/L206</f>
        <v>0.69236001670538283</v>
      </c>
    </row>
    <row r="207" spans="1:14" ht="15.95" customHeight="1">
      <c r="A207" s="21" t="s">
        <v>215</v>
      </c>
      <c r="B207" s="46">
        <f t="shared" ref="B207:C207" si="147">B206</f>
        <v>254035.16846856728</v>
      </c>
      <c r="C207" s="47">
        <f t="shared" si="147"/>
        <v>858.63886942375768</v>
      </c>
      <c r="D207" s="47">
        <f t="shared" si="119"/>
        <v>107562.32936244635</v>
      </c>
      <c r="E207" s="47">
        <f t="shared" si="120"/>
        <v>63508.79211714182</v>
      </c>
      <c r="F207" s="47">
        <f t="shared" si="121"/>
        <v>-44053.537245304535</v>
      </c>
      <c r="G207" s="48">
        <f t="shared" si="122"/>
        <v>-0.40956287862509894</v>
      </c>
      <c r="H207" s="53">
        <f t="shared" si="142"/>
        <v>190932.83262097518</v>
      </c>
      <c r="I207" s="54">
        <f t="shared" si="102"/>
        <v>47733.208155243796</v>
      </c>
      <c r="J207" s="54">
        <f t="shared" si="103"/>
        <v>-59829.121207202559</v>
      </c>
      <c r="K207" s="48">
        <f t="shared" si="104"/>
        <v>-0.55622745957462438</v>
      </c>
      <c r="L207" s="46">
        <f t="shared" si="144"/>
        <v>351808.95967713027</v>
      </c>
      <c r="M207" s="46">
        <f>$L207-SUM($C$12:$C207)</f>
        <v>244246.63031468392</v>
      </c>
      <c r="N207" s="64">
        <f t="shared" si="146"/>
        <v>0.69425926656000803</v>
      </c>
    </row>
    <row r="208" spans="1:14" ht="15.95" customHeight="1">
      <c r="A208" s="21" t="s">
        <v>216</v>
      </c>
      <c r="B208" s="46">
        <f t="shared" ref="B208:C208" si="148">B207</f>
        <v>254035.16846856728</v>
      </c>
      <c r="C208" s="47">
        <f t="shared" si="148"/>
        <v>858.63886942375768</v>
      </c>
      <c r="D208" s="47">
        <f t="shared" si="119"/>
        <v>108420.96823187011</v>
      </c>
      <c r="E208" s="47">
        <f t="shared" si="120"/>
        <v>63508.79211714182</v>
      </c>
      <c r="F208" s="47">
        <f t="shared" si="121"/>
        <v>-44912.176114728289</v>
      </c>
      <c r="G208" s="48">
        <f t="shared" si="122"/>
        <v>-0.41423884002473288</v>
      </c>
      <c r="H208" s="53">
        <f t="shared" si="142"/>
        <v>190932.83262097518</v>
      </c>
      <c r="I208" s="54">
        <f t="shared" si="102"/>
        <v>47733.208155243796</v>
      </c>
      <c r="J208" s="54">
        <f t="shared" si="103"/>
        <v>-60687.760076626313</v>
      </c>
      <c r="K208" s="48">
        <f t="shared" si="104"/>
        <v>-0.55974191216258917</v>
      </c>
      <c r="L208" s="46">
        <f t="shared" si="144"/>
        <v>356830.67123606679</v>
      </c>
      <c r="M208" s="46">
        <f>$L208-SUM($C$12:$C208)</f>
        <v>248409.70300419669</v>
      </c>
      <c r="N208" s="64">
        <f t="shared" si="146"/>
        <v>0.69615569240082908</v>
      </c>
    </row>
    <row r="209" spans="1:14" ht="15.95" customHeight="1">
      <c r="A209" s="21" t="s">
        <v>217</v>
      </c>
      <c r="B209" s="46">
        <f t="shared" ref="B209:C209" si="149">B208</f>
        <v>254035.16846856728</v>
      </c>
      <c r="C209" s="47">
        <f t="shared" si="149"/>
        <v>858.63886942375768</v>
      </c>
      <c r="D209" s="47">
        <f t="shared" si="119"/>
        <v>109279.60710129386</v>
      </c>
      <c r="E209" s="47">
        <f t="shared" si="120"/>
        <v>63508.79211714182</v>
      </c>
      <c r="F209" s="47">
        <f t="shared" si="121"/>
        <v>-45770.814984152043</v>
      </c>
      <c r="G209" s="48">
        <f t="shared" si="122"/>
        <v>-0.41884132088547854</v>
      </c>
      <c r="H209" s="53">
        <f t="shared" si="142"/>
        <v>190932.83262097518</v>
      </c>
      <c r="I209" s="54">
        <f t="shared" si="102"/>
        <v>47733.208155243796</v>
      </c>
      <c r="J209" s="54">
        <f t="shared" si="103"/>
        <v>-61546.398946050067</v>
      </c>
      <c r="K209" s="48">
        <f t="shared" si="104"/>
        <v>-0.56320113677752559</v>
      </c>
      <c r="L209" s="46">
        <f t="shared" si="144"/>
        <v>361911.80638178403</v>
      </c>
      <c r="M209" s="46">
        <f>$L209-SUM($C$12:$C209)</f>
        <v>252632.19928049017</v>
      </c>
      <c r="N209" s="64">
        <f t="shared" si="146"/>
        <v>0.69804906837989744</v>
      </c>
    </row>
    <row r="210" spans="1:14" ht="15.95" customHeight="1">
      <c r="A210" s="21" t="s">
        <v>218</v>
      </c>
      <c r="B210" s="46">
        <f t="shared" ref="B210:C210" si="150">B209</f>
        <v>254035.16846856728</v>
      </c>
      <c r="C210" s="47">
        <f t="shared" si="150"/>
        <v>858.63886942375768</v>
      </c>
      <c r="D210" s="47">
        <f t="shared" si="119"/>
        <v>110138.24597071762</v>
      </c>
      <c r="E210" s="47">
        <f t="shared" si="120"/>
        <v>63508.79211714182</v>
      </c>
      <c r="F210" s="47">
        <f t="shared" si="121"/>
        <v>-46629.453853575797</v>
      </c>
      <c r="G210" s="48">
        <f t="shared" si="122"/>
        <v>-0.4233720397723888</v>
      </c>
      <c r="H210" s="53">
        <f t="shared" si="142"/>
        <v>190932.83262097518</v>
      </c>
      <c r="I210" s="54">
        <f t="shared" si="102"/>
        <v>47733.208155243796</v>
      </c>
      <c r="J210" s="54">
        <f t="shared" si="103"/>
        <v>-62405.037815473821</v>
      </c>
      <c r="K210" s="48">
        <f t="shared" si="104"/>
        <v>-0.56660642509292736</v>
      </c>
      <c r="L210" s="46">
        <f t="shared" si="144"/>
        <v>367053.06829339225</v>
      </c>
      <c r="M210" s="46">
        <f>$L210-SUM($C$12:$C210)</f>
        <v>256914.82232267462</v>
      </c>
      <c r="N210" s="64">
        <f t="shared" si="146"/>
        <v>0.69993917641717651</v>
      </c>
    </row>
    <row r="211" spans="1:14" ht="15.95" customHeight="1">
      <c r="A211" s="21" t="s">
        <v>219</v>
      </c>
      <c r="B211" s="46">
        <f t="shared" ref="B211:C211" si="151">B210</f>
        <v>254035.16846856728</v>
      </c>
      <c r="C211" s="47">
        <f t="shared" si="151"/>
        <v>858.63886942375768</v>
      </c>
      <c r="D211" s="47">
        <f t="shared" si="119"/>
        <v>110996.88484014137</v>
      </c>
      <c r="E211" s="47">
        <f t="shared" si="120"/>
        <v>63508.79211714182</v>
      </c>
      <c r="F211" s="47">
        <f t="shared" si="121"/>
        <v>-47488.09272299955</v>
      </c>
      <c r="G211" s="48">
        <f t="shared" si="122"/>
        <v>-0.42783266207328513</v>
      </c>
      <c r="H211" s="53">
        <f t="shared" si="142"/>
        <v>190932.83262097518</v>
      </c>
      <c r="I211" s="54">
        <f t="shared" si="102"/>
        <v>47733.208155243796</v>
      </c>
      <c r="J211" s="54">
        <f t="shared" si="103"/>
        <v>-63263.676684897575</v>
      </c>
      <c r="K211" s="48">
        <f t="shared" si="104"/>
        <v>-0.56995902881428107</v>
      </c>
      <c r="L211" s="46">
        <f t="shared" si="144"/>
        <v>372255.16847095452</v>
      </c>
      <c r="M211" s="46">
        <f>$L211-SUM($C$12:$C211)</f>
        <v>261258.28363081315</v>
      </c>
      <c r="N211" s="64">
        <f t="shared" si="146"/>
        <v>0.70182580594901267</v>
      </c>
    </row>
    <row r="212" spans="1:14" ht="15.95" customHeight="1">
      <c r="A212" s="21" t="s">
        <v>220</v>
      </c>
      <c r="B212" s="46">
        <f t="shared" ref="B212:C212" si="152">B211</f>
        <v>254035.16846856728</v>
      </c>
      <c r="C212" s="47">
        <f t="shared" si="152"/>
        <v>858.63886942375768</v>
      </c>
      <c r="D212" s="47">
        <f t="shared" si="119"/>
        <v>111855.52370956512</v>
      </c>
      <c r="E212" s="47">
        <f t="shared" si="120"/>
        <v>63508.79211714182</v>
      </c>
      <c r="F212" s="47">
        <f t="shared" si="121"/>
        <v>-48346.731592423304</v>
      </c>
      <c r="G212" s="48">
        <f t="shared" si="122"/>
        <v>-0.43222480203978536</v>
      </c>
      <c r="H212" s="53">
        <f t="shared" si="142"/>
        <v>190932.83262097518</v>
      </c>
      <c r="I212" s="54">
        <f t="shared" si="102"/>
        <v>47733.208155243796</v>
      </c>
      <c r="J212" s="54">
        <f t="shared" si="103"/>
        <v>-64122.315554321329</v>
      </c>
      <c r="K212" s="48">
        <f t="shared" si="104"/>
        <v>-0.57326016121310264</v>
      </c>
      <c r="L212" s="46">
        <f t="shared" si="144"/>
        <v>377518.82683395129</v>
      </c>
      <c r="M212" s="46">
        <f>$L212-SUM($C$12:$C212)</f>
        <v>265663.30312438618</v>
      </c>
      <c r="N212" s="64">
        <f t="shared" si="146"/>
        <v>0.70370875368617336</v>
      </c>
    </row>
    <row r="213" spans="1:14" ht="15.95" customHeight="1">
      <c r="A213" s="21" t="s">
        <v>221</v>
      </c>
      <c r="B213" s="46">
        <f t="shared" ref="B213:C213" si="153">B212</f>
        <v>254035.16846856728</v>
      </c>
      <c r="C213" s="47">
        <f t="shared" si="153"/>
        <v>858.63886942375768</v>
      </c>
      <c r="D213" s="47">
        <f t="shared" si="119"/>
        <v>112714.16257898888</v>
      </c>
      <c r="E213" s="47">
        <f t="shared" si="120"/>
        <v>63508.79211714182</v>
      </c>
      <c r="F213" s="47">
        <f t="shared" si="121"/>
        <v>-49205.370461847058</v>
      </c>
      <c r="G213" s="48">
        <f t="shared" si="122"/>
        <v>-0.43655002473504129</v>
      </c>
      <c r="H213" s="53">
        <f t="shared" si="142"/>
        <v>190932.83262097518</v>
      </c>
      <c r="I213" s="54">
        <f t="shared" si="102"/>
        <v>47733.208155243796</v>
      </c>
      <c r="J213" s="54">
        <f t="shared" si="103"/>
        <v>-64980.954423745083</v>
      </c>
      <c r="K213" s="48">
        <f t="shared" si="104"/>
        <v>-0.57651099859085697</v>
      </c>
      <c r="L213" s="46">
        <f t="shared" si="144"/>
        <v>382844.77182091016</v>
      </c>
      <c r="M213" s="46">
        <f>$L213-SUM($C$12:$C213)</f>
        <v>270130.60924192128</v>
      </c>
      <c r="N213" s="64">
        <f t="shared" si="146"/>
        <v>0.70558782338102533</v>
      </c>
    </row>
    <row r="214" spans="1:14" ht="15.95" customHeight="1">
      <c r="A214" s="21" t="s">
        <v>222</v>
      </c>
      <c r="B214" s="46">
        <f t="shared" ref="B214:C214" si="154">B213</f>
        <v>254035.16846856728</v>
      </c>
      <c r="C214" s="47">
        <f t="shared" si="154"/>
        <v>858.63886942375768</v>
      </c>
      <c r="D214" s="47">
        <f t="shared" si="119"/>
        <v>113572.80144841263</v>
      </c>
      <c r="E214" s="47">
        <f t="shared" si="120"/>
        <v>63508.79211714182</v>
      </c>
      <c r="F214" s="47">
        <f t="shared" si="121"/>
        <v>-50064.009331270812</v>
      </c>
      <c r="G214" s="48">
        <f t="shared" si="122"/>
        <v>-0.44080984789312461</v>
      </c>
      <c r="H214" s="53">
        <f t="shared" si="142"/>
        <v>190932.83262097518</v>
      </c>
      <c r="I214" s="54">
        <f t="shared" si="102"/>
        <v>47733.208155243796</v>
      </c>
      <c r="J214" s="54">
        <f t="shared" si="103"/>
        <v>-65839.593293168844</v>
      </c>
      <c r="K214" s="48">
        <f t="shared" si="104"/>
        <v>-0.5797126816764725</v>
      </c>
      <c r="L214" s="46">
        <f t="shared" si="144"/>
        <v>388233.74049021472</v>
      </c>
      <c r="M214" s="46">
        <f>$L214-SUM($C$12:$C214)</f>
        <v>274660.93904180208</v>
      </c>
      <c r="N214" s="64">
        <f t="shared" si="146"/>
        <v>0.70746282560344542</v>
      </c>
    </row>
    <row r="215" spans="1:14" ht="15.95" customHeight="1">
      <c r="A215" s="17" t="s">
        <v>223</v>
      </c>
      <c r="B215" s="40">
        <f t="shared" ref="B215:C215" si="155">B214</f>
        <v>254035.16846856728</v>
      </c>
      <c r="C215" s="15">
        <f t="shared" si="155"/>
        <v>858.63886942375768</v>
      </c>
      <c r="D215" s="15">
        <f t="shared" si="119"/>
        <v>114431.44031783639</v>
      </c>
      <c r="E215" s="15">
        <f t="shared" si="120"/>
        <v>63508.79211714182</v>
      </c>
      <c r="F215" s="15">
        <f t="shared" si="121"/>
        <v>-50922.648200694566</v>
      </c>
      <c r="G215" s="16">
        <f t="shared" si="122"/>
        <v>-0.44500574369470092</v>
      </c>
      <c r="H215" s="37">
        <f t="shared" si="142"/>
        <v>190932.83262097518</v>
      </c>
      <c r="I215" s="23">
        <f t="shared" si="102"/>
        <v>47733.208155243796</v>
      </c>
      <c r="J215" s="23">
        <f t="shared" si="103"/>
        <v>-66698.232162592583</v>
      </c>
      <c r="K215" s="24">
        <f t="shared" si="104"/>
        <v>-0.58286631696093716</v>
      </c>
      <c r="L215" s="58">
        <f t="shared" si="144"/>
        <v>393686.47862210602</v>
      </c>
      <c r="M215" s="58">
        <f>$L215-SUM($C$12:$C215)</f>
        <v>279255.03830426966</v>
      </c>
      <c r="N215" s="63">
        <f t="shared" si="146"/>
        <v>0.70933357752508064</v>
      </c>
    </row>
    <row r="216" spans="1:14" ht="15.95" customHeight="1">
      <c r="A216" s="21" t="s">
        <v>224</v>
      </c>
      <c r="B216" s="39">
        <f>B215*(1+$F$8)</f>
        <v>269277.27857668133</v>
      </c>
      <c r="C216" s="11">
        <f>C215*(1+$F$8)</f>
        <v>910.15720158918316</v>
      </c>
      <c r="D216" s="47">
        <f t="shared" si="119"/>
        <v>115341.59751942557</v>
      </c>
      <c r="E216" s="47">
        <f t="shared" si="120"/>
        <v>67319.319644170333</v>
      </c>
      <c r="F216" s="47">
        <f t="shared" si="121"/>
        <v>-48022.27787525524</v>
      </c>
      <c r="G216" s="48">
        <f t="shared" si="122"/>
        <v>-0.41634829851535077</v>
      </c>
      <c r="H216" s="53">
        <f t="shared" si="142"/>
        <v>202388.80257823371</v>
      </c>
      <c r="I216" s="54">
        <f t="shared" si="102"/>
        <v>50597.200644558427</v>
      </c>
      <c r="J216" s="54">
        <f t="shared" si="103"/>
        <v>-64744.396874867147</v>
      </c>
      <c r="K216" s="48">
        <f t="shared" si="104"/>
        <v>-0.56132738116413761</v>
      </c>
      <c r="L216" s="39">
        <f t="shared" si="144"/>
        <v>399255.25915405684</v>
      </c>
      <c r="M216" s="39">
        <f>$L216-SUM($C$12:$C216)</f>
        <v>283913.66163463128</v>
      </c>
      <c r="N216" s="62">
        <f t="shared" si="146"/>
        <v>0.71110813226653125</v>
      </c>
    </row>
    <row r="217" spans="1:14" ht="15.95" customHeight="1">
      <c r="A217" s="21" t="s">
        <v>225</v>
      </c>
      <c r="B217" s="46">
        <f t="shared" ref="B217:C217" si="156">B216</f>
        <v>269277.27857668133</v>
      </c>
      <c r="C217" s="47">
        <f t="shared" si="156"/>
        <v>910.15720158918316</v>
      </c>
      <c r="D217" s="47">
        <f t="shared" si="119"/>
        <v>116251.75472101476</v>
      </c>
      <c r="E217" s="47">
        <f t="shared" si="120"/>
        <v>67319.319644170333</v>
      </c>
      <c r="F217" s="47">
        <f t="shared" si="121"/>
        <v>-48932.435076844427</v>
      </c>
      <c r="G217" s="48">
        <f t="shared" si="122"/>
        <v>-0.42091781921291671</v>
      </c>
      <c r="H217" s="53">
        <f t="shared" si="142"/>
        <v>202388.80257823371</v>
      </c>
      <c r="I217" s="54">
        <f t="shared" si="102"/>
        <v>50597.200644558427</v>
      </c>
      <c r="J217" s="54">
        <f t="shared" si="103"/>
        <v>-65654.554076456334</v>
      </c>
      <c r="K217" s="48">
        <f t="shared" si="104"/>
        <v>-0.56476183292042814</v>
      </c>
      <c r="L217" s="46">
        <f t="shared" si="144"/>
        <v>404889.93692230241</v>
      </c>
      <c r="M217" s="46">
        <f>$L217-SUM($C$12:$C217)</f>
        <v>288638.18220128765</v>
      </c>
      <c r="N217" s="64">
        <f t="shared" si="146"/>
        <v>0.71288060255416219</v>
      </c>
    </row>
    <row r="218" spans="1:14" ht="15.95" customHeight="1">
      <c r="A218" s="21" t="s">
        <v>226</v>
      </c>
      <c r="B218" s="46">
        <f t="shared" ref="B218:C218" si="157">B217</f>
        <v>269277.27857668133</v>
      </c>
      <c r="C218" s="47">
        <f t="shared" si="157"/>
        <v>910.15720158918316</v>
      </c>
      <c r="D218" s="47">
        <f t="shared" si="119"/>
        <v>117161.91192260395</v>
      </c>
      <c r="E218" s="47">
        <f t="shared" si="120"/>
        <v>67319.319644170333</v>
      </c>
      <c r="F218" s="47">
        <f t="shared" si="121"/>
        <v>-49842.592278433614</v>
      </c>
      <c r="G218" s="48">
        <f t="shared" si="122"/>
        <v>-0.42541634444612991</v>
      </c>
      <c r="H218" s="53">
        <f t="shared" si="142"/>
        <v>202388.80257823371</v>
      </c>
      <c r="I218" s="54">
        <f t="shared" si="102"/>
        <v>50597.200644558427</v>
      </c>
      <c r="J218" s="54">
        <f t="shared" si="103"/>
        <v>-66564.711278045521</v>
      </c>
      <c r="K218" s="48">
        <f t="shared" si="104"/>
        <v>-0.56814292448571124</v>
      </c>
      <c r="L218" s="46">
        <f t="shared" si="144"/>
        <v>410591.29171080556</v>
      </c>
      <c r="M218" s="46">
        <f>$L218-SUM($C$12:$C218)</f>
        <v>293429.37978820159</v>
      </c>
      <c r="N218" s="64">
        <f t="shared" si="146"/>
        <v>0.71465076272215389</v>
      </c>
    </row>
    <row r="219" spans="1:14" ht="15.95" customHeight="1">
      <c r="A219" s="21" t="s">
        <v>227</v>
      </c>
      <c r="B219" s="46">
        <f t="shared" ref="B219:C219" si="158">B218</f>
        <v>269277.27857668133</v>
      </c>
      <c r="C219" s="47">
        <f t="shared" si="158"/>
        <v>910.15720158918316</v>
      </c>
      <c r="D219" s="47">
        <f t="shared" si="119"/>
        <v>118072.06912419313</v>
      </c>
      <c r="E219" s="47">
        <f t="shared" si="120"/>
        <v>67319.319644170333</v>
      </c>
      <c r="F219" s="47">
        <f t="shared" si="121"/>
        <v>-50752.749480022801</v>
      </c>
      <c r="G219" s="48">
        <f t="shared" si="122"/>
        <v>-0.42984551601817816</v>
      </c>
      <c r="H219" s="53">
        <f t="shared" si="142"/>
        <v>202388.80257823371</v>
      </c>
      <c r="I219" s="54">
        <f t="shared" si="102"/>
        <v>50597.200644558427</v>
      </c>
      <c r="J219" s="54">
        <f t="shared" si="103"/>
        <v>-67474.868479634708</v>
      </c>
      <c r="K219" s="48">
        <f t="shared" si="104"/>
        <v>-0.57147188983926267</v>
      </c>
      <c r="L219" s="46">
        <f t="shared" si="144"/>
        <v>416360.11253097263</v>
      </c>
      <c r="M219" s="46">
        <f>$L219-SUM($C$12:$C219)</f>
        <v>298288.04340677953</v>
      </c>
      <c r="N219" s="64">
        <f t="shared" si="146"/>
        <v>0.71641839462849644</v>
      </c>
    </row>
    <row r="220" spans="1:14" ht="15.95" customHeight="1">
      <c r="A220" s="21" t="s">
        <v>228</v>
      </c>
      <c r="B220" s="46">
        <f t="shared" ref="B220:C220" si="159">B219</f>
        <v>269277.27857668133</v>
      </c>
      <c r="C220" s="47">
        <f t="shared" si="159"/>
        <v>910.15720158918316</v>
      </c>
      <c r="D220" s="47">
        <f t="shared" si="119"/>
        <v>118982.22632578232</v>
      </c>
      <c r="E220" s="47">
        <f t="shared" si="120"/>
        <v>67319.319644170333</v>
      </c>
      <c r="F220" s="47">
        <f t="shared" si="121"/>
        <v>-51662.906681611988</v>
      </c>
      <c r="G220" s="48">
        <f t="shared" si="122"/>
        <v>-0.43420692549620854</v>
      </c>
      <c r="H220" s="53">
        <f t="shared" si="142"/>
        <v>202388.80257823371</v>
      </c>
      <c r="I220" s="54">
        <f t="shared" si="102"/>
        <v>50597.200644558427</v>
      </c>
      <c r="J220" s="54">
        <f t="shared" si="103"/>
        <v>-68385.025681223895</v>
      </c>
      <c r="K220" s="48">
        <f t="shared" si="104"/>
        <v>-0.57474992520295032</v>
      </c>
      <c r="L220" s="46">
        <f t="shared" si="144"/>
        <v>422197.19773084502</v>
      </c>
      <c r="M220" s="46">
        <f>$L220-SUM($C$12:$C220)</f>
        <v>303214.97140506271</v>
      </c>
      <c r="N220" s="64">
        <f t="shared" si="146"/>
        <v>0.7181832874181352</v>
      </c>
    </row>
    <row r="221" spans="1:14" ht="15.95" customHeight="1">
      <c r="A221" s="21" t="s">
        <v>229</v>
      </c>
      <c r="B221" s="46">
        <f t="shared" ref="B221:C221" si="160">B220</f>
        <v>269277.27857668133</v>
      </c>
      <c r="C221" s="47">
        <f t="shared" si="160"/>
        <v>910.15720158918316</v>
      </c>
      <c r="D221" s="47">
        <f t="shared" si="119"/>
        <v>119892.38352737151</v>
      </c>
      <c r="E221" s="47">
        <f t="shared" si="120"/>
        <v>67319.319644170333</v>
      </c>
      <c r="F221" s="47">
        <f t="shared" si="121"/>
        <v>-52573.063883201175</v>
      </c>
      <c r="G221" s="48">
        <f t="shared" si="122"/>
        <v>-0.43850211611814949</v>
      </c>
      <c r="H221" s="53">
        <f t="shared" si="142"/>
        <v>202388.80257823371</v>
      </c>
      <c r="I221" s="54">
        <f t="shared" si="102"/>
        <v>50597.200644558427</v>
      </c>
      <c r="J221" s="54">
        <f t="shared" si="103"/>
        <v>-69295.182882813082</v>
      </c>
      <c r="K221" s="48">
        <f t="shared" si="104"/>
        <v>-0.57797819047440113</v>
      </c>
      <c r="L221" s="46">
        <f t="shared" si="144"/>
        <v>428103.35510558257</v>
      </c>
      <c r="M221" s="46">
        <f>$L221-SUM($C$12:$C221)</f>
        <v>308210.97157821106</v>
      </c>
      <c r="N221" s="64">
        <f t="shared" si="146"/>
        <v>0.71994523729485227</v>
      </c>
    </row>
    <row r="222" spans="1:14" ht="15.95" customHeight="1">
      <c r="A222" s="21" t="s">
        <v>230</v>
      </c>
      <c r="B222" s="46">
        <f t="shared" ref="B222:C222" si="161">B221</f>
        <v>269277.27857668133</v>
      </c>
      <c r="C222" s="47">
        <f t="shared" si="161"/>
        <v>910.15720158918316</v>
      </c>
      <c r="D222" s="47">
        <f t="shared" si="119"/>
        <v>120802.5407289607</v>
      </c>
      <c r="E222" s="47">
        <f t="shared" si="120"/>
        <v>67319.319644170333</v>
      </c>
      <c r="F222" s="47">
        <f t="shared" si="121"/>
        <v>-53483.221084790363</v>
      </c>
      <c r="G222" s="48">
        <f t="shared" si="122"/>
        <v>-0.44273258461333437</v>
      </c>
      <c r="H222" s="53">
        <f t="shared" si="142"/>
        <v>202388.80257823371</v>
      </c>
      <c r="I222" s="54">
        <f t="shared" si="102"/>
        <v>50597.200644558427</v>
      </c>
      <c r="J222" s="54">
        <f t="shared" si="103"/>
        <v>-70205.340084402269</v>
      </c>
      <c r="K222" s="48">
        <f t="shared" si="104"/>
        <v>-0.58115781059538207</v>
      </c>
      <c r="L222" s="46">
        <f t="shared" si="144"/>
        <v>434079.4020092545</v>
      </c>
      <c r="M222" s="46">
        <f>$L222-SUM($C$12:$C222)</f>
        <v>313276.86128029379</v>
      </c>
      <c r="N222" s="64">
        <f t="shared" si="146"/>
        <v>0.72170404730149984</v>
      </c>
    </row>
    <row r="223" spans="1:14" ht="15.95" customHeight="1">
      <c r="A223" s="21" t="s">
        <v>231</v>
      </c>
      <c r="B223" s="46">
        <f t="shared" ref="B223:C223" si="162">B222</f>
        <v>269277.27857668133</v>
      </c>
      <c r="C223" s="47">
        <f t="shared" si="162"/>
        <v>910.15720158918316</v>
      </c>
      <c r="D223" s="47">
        <f t="shared" si="119"/>
        <v>121712.69793054988</v>
      </c>
      <c r="E223" s="47">
        <f t="shared" si="120"/>
        <v>67319.319644170333</v>
      </c>
      <c r="F223" s="47">
        <f t="shared" si="121"/>
        <v>-54393.37828637955</v>
      </c>
      <c r="G223" s="48">
        <f t="shared" si="122"/>
        <v>-0.44689978294143795</v>
      </c>
      <c r="H223" s="53">
        <f t="shared" si="142"/>
        <v>202388.80257823371</v>
      </c>
      <c r="I223" s="54">
        <f t="shared" si="102"/>
        <v>50597.200644558427</v>
      </c>
      <c r="J223" s="54">
        <f t="shared" si="103"/>
        <v>-71115.497285991456</v>
      </c>
      <c r="K223" s="48">
        <f t="shared" si="104"/>
        <v>-0.58428987685878475</v>
      </c>
      <c r="L223" s="46">
        <f t="shared" si="144"/>
        <v>440126.16546795319</v>
      </c>
      <c r="M223" s="46">
        <f>$L223-SUM($C$12:$C223)</f>
        <v>318413.46753740334</v>
      </c>
      <c r="N223" s="64">
        <f t="shared" si="146"/>
        <v>0.72345952710822847</v>
      </c>
    </row>
    <row r="224" spans="1:14" ht="15.95" customHeight="1">
      <c r="A224" s="21" t="s">
        <v>232</v>
      </c>
      <c r="B224" s="46">
        <f t="shared" ref="B224:C224" si="163">B223</f>
        <v>269277.27857668133</v>
      </c>
      <c r="C224" s="47">
        <f t="shared" si="163"/>
        <v>910.15720158918316</v>
      </c>
      <c r="D224" s="47">
        <f t="shared" si="119"/>
        <v>122622.85513213907</v>
      </c>
      <c r="E224" s="47">
        <f t="shared" si="120"/>
        <v>67319.319644170333</v>
      </c>
      <c r="F224" s="47">
        <f t="shared" si="121"/>
        <v>-55303.535487968737</v>
      </c>
      <c r="G224" s="48">
        <f t="shared" si="122"/>
        <v>-0.45100511995397058</v>
      </c>
      <c r="H224" s="53">
        <f t="shared" si="142"/>
        <v>202388.80257823371</v>
      </c>
      <c r="I224" s="54">
        <f t="shared" si="102"/>
        <v>50597.200644558427</v>
      </c>
      <c r="J224" s="54">
        <f t="shared" si="103"/>
        <v>-72025.654487580643</v>
      </c>
      <c r="K224" s="48">
        <f t="shared" si="104"/>
        <v>-0.58737544815740428</v>
      </c>
      <c r="L224" s="46">
        <f t="shared" si="144"/>
        <v>446244.4822942465</v>
      </c>
      <c r="M224" s="46">
        <f>$L224-SUM($C$12:$C224)</f>
        <v>323621.62716210744</v>
      </c>
      <c r="N224" s="64">
        <f t="shared" si="146"/>
        <v>0.72521149280836705</v>
      </c>
    </row>
    <row r="225" spans="1:14" ht="15.95" customHeight="1">
      <c r="A225" s="21" t="s">
        <v>233</v>
      </c>
      <c r="B225" s="46">
        <f t="shared" ref="B225:C225" si="164">B224</f>
        <v>269277.27857668133</v>
      </c>
      <c r="C225" s="47">
        <f t="shared" si="164"/>
        <v>910.15720158918316</v>
      </c>
      <c r="D225" s="47">
        <f t="shared" si="119"/>
        <v>123533.01233372826</v>
      </c>
      <c r="E225" s="47">
        <f t="shared" si="120"/>
        <v>67319.319644170333</v>
      </c>
      <c r="F225" s="47">
        <f t="shared" si="121"/>
        <v>-56213.692689557924</v>
      </c>
      <c r="G225" s="48">
        <f t="shared" si="122"/>
        <v>-0.45504996298232325</v>
      </c>
      <c r="H225" s="53">
        <f t="shared" si="142"/>
        <v>202388.80257823371</v>
      </c>
      <c r="I225" s="54">
        <f t="shared" si="102"/>
        <v>50597.200644558427</v>
      </c>
      <c r="J225" s="54">
        <f t="shared" si="103"/>
        <v>-72935.81168916983</v>
      </c>
      <c r="K225" s="48">
        <f t="shared" si="104"/>
        <v>-0.59041555217751407</v>
      </c>
      <c r="L225" s="46">
        <f t="shared" si="144"/>
        <v>452435.19920298428</v>
      </c>
      <c r="M225" s="46">
        <f>$L225-SUM($C$12:$C225)</f>
        <v>328902.18686925602</v>
      </c>
      <c r="N225" s="64">
        <f t="shared" si="146"/>
        <v>0.72695976672163087</v>
      </c>
    </row>
    <row r="226" spans="1:14" ht="15.95" customHeight="1">
      <c r="A226" s="21" t="s">
        <v>234</v>
      </c>
      <c r="B226" s="46">
        <f t="shared" ref="B226:C226" si="165">B225</f>
        <v>269277.27857668133</v>
      </c>
      <c r="C226" s="47">
        <f t="shared" si="165"/>
        <v>910.15720158918316</v>
      </c>
      <c r="D226" s="47">
        <f t="shared" si="119"/>
        <v>124443.16953531744</v>
      </c>
      <c r="E226" s="47">
        <f t="shared" si="120"/>
        <v>67319.319644170333</v>
      </c>
      <c r="F226" s="47">
        <f t="shared" si="121"/>
        <v>-57123.849891147111</v>
      </c>
      <c r="G226" s="48">
        <f t="shared" si="122"/>
        <v>-0.45903563935612507</v>
      </c>
      <c r="H226" s="53">
        <f t="shared" si="142"/>
        <v>202388.80257823371</v>
      </c>
      <c r="I226" s="54">
        <f t="shared" si="102"/>
        <v>50597.200644558427</v>
      </c>
      <c r="J226" s="54">
        <f t="shared" si="103"/>
        <v>-73845.968890759017</v>
      </c>
      <c r="K226" s="48">
        <f t="shared" si="104"/>
        <v>-0.59341118654006353</v>
      </c>
      <c r="L226" s="46">
        <f t="shared" si="144"/>
        <v>458699.17292847548</v>
      </c>
      <c r="M226" s="46">
        <f>$L226-SUM($C$12:$C226)</f>
        <v>334256.00339315803</v>
      </c>
      <c r="N226" s="64">
        <f t="shared" si="146"/>
        <v>0.72870417720434444</v>
      </c>
    </row>
    <row r="227" spans="1:14" ht="15.95" customHeight="1">
      <c r="A227" s="17" t="s">
        <v>235</v>
      </c>
      <c r="B227" s="40">
        <f t="shared" ref="B227:C227" si="166">B226</f>
        <v>269277.27857668133</v>
      </c>
      <c r="C227" s="15">
        <f t="shared" si="166"/>
        <v>910.15720158918316</v>
      </c>
      <c r="D227" s="15">
        <f t="shared" si="119"/>
        <v>125353.32673690663</v>
      </c>
      <c r="E227" s="15">
        <f t="shared" si="120"/>
        <v>67319.319644170333</v>
      </c>
      <c r="F227" s="15">
        <f t="shared" si="121"/>
        <v>-58034.007092736298</v>
      </c>
      <c r="G227" s="16">
        <f t="shared" si="122"/>
        <v>-0.46296343785545402</v>
      </c>
      <c r="H227" s="37">
        <f t="shared" si="142"/>
        <v>202388.80257823371</v>
      </c>
      <c r="I227" s="23">
        <f t="shared" si="102"/>
        <v>50597.200644558427</v>
      </c>
      <c r="J227" s="23">
        <f t="shared" si="103"/>
        <v>-74756.126092348204</v>
      </c>
      <c r="K227" s="24">
        <f t="shared" si="104"/>
        <v>-0.59636331989215918</v>
      </c>
      <c r="L227" s="58">
        <f t="shared" si="144"/>
        <v>465037.27034305164</v>
      </c>
      <c r="M227" s="58">
        <f>$L227-SUM($C$12:$C227)</f>
        <v>339683.94360614498</v>
      </c>
      <c r="N227" s="63">
        <f t="shared" si="146"/>
        <v>0.73044455846638867</v>
      </c>
    </row>
    <row r="228" spans="1:14" ht="15.95" customHeight="1">
      <c r="A228" s="21" t="s">
        <v>236</v>
      </c>
      <c r="B228" s="39">
        <f>B227*(1+$F$8)</f>
        <v>285433.91529128223</v>
      </c>
      <c r="C228" s="11">
        <f>C227*(1+$F$8)</f>
        <v>964.76663368453421</v>
      </c>
      <c r="D228" s="47">
        <f t="shared" si="119"/>
        <v>126318.09337059116</v>
      </c>
      <c r="E228" s="47">
        <f t="shared" si="120"/>
        <v>71358.478822820558</v>
      </c>
      <c r="F228" s="47">
        <f t="shared" si="121"/>
        <v>-54959.614547770601</v>
      </c>
      <c r="G228" s="48">
        <f t="shared" si="122"/>
        <v>-0.43508901283468915</v>
      </c>
      <c r="H228" s="53">
        <f t="shared" si="142"/>
        <v>214532.13073292773</v>
      </c>
      <c r="I228" s="54">
        <f t="shared" si="102"/>
        <v>53633.032683231933</v>
      </c>
      <c r="J228" s="54">
        <f t="shared" si="103"/>
        <v>-72685.060687359219</v>
      </c>
      <c r="K228" s="48">
        <f t="shared" si="104"/>
        <v>-0.57541290204655227</v>
      </c>
      <c r="L228" s="39">
        <f t="shared" si="144"/>
        <v>471504.97800912894</v>
      </c>
      <c r="M228" s="39">
        <f>$L228-SUM($C$12:$C228)</f>
        <v>345186.88463853777</v>
      </c>
      <c r="N228" s="62">
        <f t="shared" si="146"/>
        <v>0.73209594964627178</v>
      </c>
    </row>
    <row r="229" spans="1:14" ht="15.95" customHeight="1">
      <c r="A229" s="21" t="s">
        <v>237</v>
      </c>
      <c r="B229" s="46">
        <f t="shared" ref="B229:C229" si="167">B228</f>
        <v>285433.91529128223</v>
      </c>
      <c r="C229" s="47">
        <f t="shared" si="167"/>
        <v>964.76663368453421</v>
      </c>
      <c r="D229" s="47">
        <f t="shared" si="119"/>
        <v>127282.86000427569</v>
      </c>
      <c r="E229" s="47">
        <f t="shared" si="120"/>
        <v>71358.478822820558</v>
      </c>
      <c r="F229" s="47">
        <f t="shared" si="121"/>
        <v>-55924.38118145513</v>
      </c>
      <c r="G229" s="48">
        <f t="shared" si="122"/>
        <v>-0.43937087192711194</v>
      </c>
      <c r="H229" s="53">
        <f t="shared" si="142"/>
        <v>214532.13073292773</v>
      </c>
      <c r="I229" s="54">
        <f t="shared" si="102"/>
        <v>53633.032683231933</v>
      </c>
      <c r="J229" s="54">
        <f t="shared" si="103"/>
        <v>-73649.827321043762</v>
      </c>
      <c r="K229" s="48">
        <f t="shared" si="104"/>
        <v>-0.57863114734041732</v>
      </c>
      <c r="L229" s="46">
        <f t="shared" si="144"/>
        <v>478049.22021592152</v>
      </c>
      <c r="M229" s="46">
        <f>$L229-SUM($C$12:$C229)</f>
        <v>350766.36021164584</v>
      </c>
      <c r="N229" s="64">
        <f t="shared" si="146"/>
        <v>0.73374528265774486</v>
      </c>
    </row>
    <row r="230" spans="1:14" ht="15.95" customHeight="1">
      <c r="A230" s="21" t="s">
        <v>238</v>
      </c>
      <c r="B230" s="46">
        <f t="shared" ref="B230:C230" si="168">B229</f>
        <v>285433.91529128223</v>
      </c>
      <c r="C230" s="47">
        <f t="shared" si="168"/>
        <v>964.76663368453421</v>
      </c>
      <c r="D230" s="47">
        <f t="shared" si="119"/>
        <v>128247.62663796022</v>
      </c>
      <c r="E230" s="47">
        <f t="shared" si="120"/>
        <v>71358.478822820558</v>
      </c>
      <c r="F230" s="47">
        <f t="shared" si="121"/>
        <v>-56889.147815139659</v>
      </c>
      <c r="G230" s="48">
        <f t="shared" si="122"/>
        <v>-0.44358830885608724</v>
      </c>
      <c r="H230" s="53">
        <f t="shared" si="142"/>
        <v>214532.13073292773</v>
      </c>
      <c r="I230" s="54">
        <f t="shared" si="102"/>
        <v>53633.032683231933</v>
      </c>
      <c r="J230" s="54">
        <f t="shared" si="103"/>
        <v>-74614.593954728276</v>
      </c>
      <c r="K230" s="48">
        <f t="shared" si="104"/>
        <v>-0.58180097293623512</v>
      </c>
      <c r="L230" s="46">
        <f t="shared" si="144"/>
        <v>484670.90262216114</v>
      </c>
      <c r="M230" s="46">
        <f>$L230-SUM($C$12:$C230)</f>
        <v>356423.27598420094</v>
      </c>
      <c r="N230" s="64">
        <f t="shared" si="146"/>
        <v>0.73539235397851133</v>
      </c>
    </row>
    <row r="231" spans="1:14" ht="15.95" customHeight="1">
      <c r="A231" s="49" t="s">
        <v>239</v>
      </c>
      <c r="B231" s="50">
        <f t="shared" ref="B231:C231" si="169">B230</f>
        <v>285433.91529128223</v>
      </c>
      <c r="C231" s="51">
        <f t="shared" si="169"/>
        <v>964.76663368453421</v>
      </c>
      <c r="D231" s="51">
        <f t="shared" si="119"/>
        <v>129212.39327164475</v>
      </c>
      <c r="E231" s="51">
        <f t="shared" si="120"/>
        <v>71358.478822820558</v>
      </c>
      <c r="F231" s="51">
        <f t="shared" si="121"/>
        <v>-57853.914448824187</v>
      </c>
      <c r="G231" s="52">
        <f t="shared" si="122"/>
        <v>-0.44774276664930446</v>
      </c>
      <c r="H231" s="55">
        <f t="shared" si="142"/>
        <v>214532.13073292773</v>
      </c>
      <c r="I231" s="56">
        <f t="shared" si="102"/>
        <v>53633.032683231933</v>
      </c>
      <c r="J231" s="56">
        <f t="shared" si="103"/>
        <v>-75579.360588412819</v>
      </c>
      <c r="K231" s="52">
        <f t="shared" si="104"/>
        <v>-0.58492346341361723</v>
      </c>
      <c r="L231" s="50">
        <f t="shared" si="144"/>
        <v>491370.94160354126</v>
      </c>
      <c r="M231" s="50">
        <f>$L231-SUM($C$12:$C231)</f>
        <v>362158.54833189654</v>
      </c>
      <c r="N231" s="65">
        <f t="shared" si="146"/>
        <v>0.73703696671607677</v>
      </c>
    </row>
    <row r="232" spans="1:14" ht="15.75" customHeight="1"/>
    <row r="233" spans="1:14" ht="15.75" customHeight="1"/>
    <row r="234" spans="1:14" ht="15.75" customHeight="1"/>
    <row r="235" spans="1:14" ht="15.75" customHeight="1"/>
    <row r="236" spans="1:14" ht="15.75" customHeight="1"/>
    <row r="237" spans="1:14" ht="15.75" customHeight="1"/>
    <row r="238" spans="1:14" ht="15.75" customHeight="1"/>
    <row r="239" spans="1:14" ht="15.75" customHeight="1"/>
    <row r="240" spans="1:14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</sheetData>
  <mergeCells count="5">
    <mergeCell ref="B10:C10"/>
    <mergeCell ref="H10:I10"/>
    <mergeCell ref="A3:H5"/>
    <mergeCell ref="A6:H6"/>
    <mergeCell ref="L10:N10"/>
  </mergeCells>
  <phoneticPr fontId="13" type="noConversion"/>
  <pageMargins left="0.7" right="0.7" top="0.75" bottom="0.75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Venda da Carta com Lucro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Mauricio RP</cp:lastModifiedBy>
  <cp:lastPrinted>2024-10-10T15:25:38Z</cp:lastPrinted>
  <dcterms:created xsi:type="dcterms:W3CDTF">2015-06-05T18:19:34Z</dcterms:created>
  <dcterms:modified xsi:type="dcterms:W3CDTF">2025-10-25T16:01:36Z</dcterms:modified>
</cp:coreProperties>
</file>